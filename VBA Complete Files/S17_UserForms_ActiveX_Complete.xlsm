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87FABF8B-E95B-4E3D-A3EE-901FBD04A05C}" xr6:coauthVersionLast="36" xr6:coauthVersionMax="36" xr10:uidLastSave="{00000000-0000-0000-0000-000000000000}"/>
  <bookViews>
    <workbookView xWindow="0" yWindow="0" windowWidth="19200" windowHeight="8250" activeTab="5" xr2:uid="{00000000-000D-0000-FFFF-FFFF00000000}"/>
  </bookViews>
  <sheets>
    <sheet name="Purpose" sheetId="4" r:id="rId1"/>
    <sheet name="ActiveX" sheetId="2" r:id="rId2"/>
    <sheet name="Data" sheetId="13" r:id="rId3"/>
    <sheet name="InputForm" sheetId="11" r:id="rId4"/>
    <sheet name="Sheet3" sheetId="16" r:id="rId5"/>
    <sheet name="Sheet4" sheetId="17" r:id="rId6"/>
    <sheet name="ComboForm" sheetId="12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3" l="1"/>
  <c r="G5" i="13" s="1"/>
  <c r="B3" i="13"/>
  <c r="H23" i="2"/>
  <c r="E3" i="13" l="1"/>
  <c r="I22" i="2" s="1"/>
  <c r="I23" i="2" l="1"/>
  <c r="J2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1" authorId="0" shapeId="0" xr:uid="{00000000-0006-0000-0100-000001000000}">
      <text>
        <r>
          <rPr>
            <sz val="9"/>
            <color indexed="81"/>
            <rFont val="Tahoma"/>
            <family val="2"/>
          </rPr>
          <t>Different ways to get creative with ActiveX controls.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D1" authorId="0" shapeId="0" xr:uid="{00000000-0006-0000-0400-000001000000}">
      <text>
        <r>
          <rPr>
            <sz val="9"/>
            <color indexed="81"/>
            <rFont val="Tahoma"/>
            <family val="2"/>
          </rPr>
          <t>Different ways to get creative with ActiveX controls.</t>
        </r>
      </text>
    </comment>
  </commentList>
</comments>
</file>

<file path=xl/sharedStrings.xml><?xml version="1.0" encoding="utf-8"?>
<sst xmlns="http://schemas.openxmlformats.org/spreadsheetml/2006/main" count="61" uniqueCount="51">
  <si>
    <t>Link</t>
  </si>
  <si>
    <t>Topic Covered</t>
  </si>
  <si>
    <t>What you Learn</t>
  </si>
  <si>
    <t>Using ActiveX Controls</t>
  </si>
  <si>
    <t>Company A</t>
  </si>
  <si>
    <t>Company B</t>
  </si>
  <si>
    <t>Budget</t>
  </si>
  <si>
    <t>Customer Name</t>
  </si>
  <si>
    <t>Amount Invoiced</t>
  </si>
  <si>
    <t>Yes</t>
  </si>
  <si>
    <t>No</t>
  </si>
  <si>
    <t>Forecast</t>
  </si>
  <si>
    <t>Data for Active X Drop-down</t>
  </si>
  <si>
    <t>Year</t>
  </si>
  <si>
    <t>Controls</t>
  </si>
  <si>
    <t>Company C</t>
  </si>
  <si>
    <t>Company D</t>
  </si>
  <si>
    <t>Sales Report</t>
  </si>
  <si>
    <t>The tool should work as follows:</t>
  </si>
  <si>
    <t xml:space="preserve"> - or to document the cell addresses that contain external links to other Workbooks</t>
  </si>
  <si>
    <t>User selects one of the below tasks from the Combo Box:</t>
  </si>
  <si>
    <t xml:space="preserve"> - document all comments within the workbook, including the address of the cells</t>
  </si>
  <si>
    <t>They then select from the Option Button, whether they'd like the report in this Workbook or in a new Workbook</t>
  </si>
  <si>
    <t xml:space="preserve">Add a Check Box for invoice created. </t>
  </si>
  <si>
    <t>The Check Box is only enabled if values for customer and amount have been input.</t>
  </si>
  <si>
    <t>Wendal</t>
  </si>
  <si>
    <t>Twist</t>
  </si>
  <si>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>UserForm basics</t>
    </r>
  </si>
  <si>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>Create a UserForm to input data below.</t>
    </r>
  </si>
  <si>
    <t>● How to work with ActiveX controls
● Check Box to toggle screen settings (scroll area, full screen etc.)
● Check Box to Show or Hide Help (easy method of creating help for you applications)
● Combo Box for easy sheet navigation (great for larger workbooks)
● Hide or show other ActiveX controls based on user selection</t>
  </si>
  <si>
    <t>● How to work with UserForms
● Create a UserForm for Data Input
● How to work Check Boxes
● Enable/Disable Userform controls based on user selection</t>
  </si>
  <si>
    <t>Create a UserForm to Input Data</t>
  </si>
  <si>
    <t>Create a UserForm that Documents Comments &amp; External links</t>
  </si>
  <si>
    <t>Create a Userform that includes:
- Combo Box
- Option Buttons
- A static image
and documents all comments or external links inside a workbook in either a separate workbook or the existing workbook.</t>
  </si>
  <si>
    <t>Create a UserForm with Combo Box and Option Buttons to document comments and external links to other Workbooks.</t>
  </si>
  <si>
    <t>ActiveX</t>
  </si>
  <si>
    <t>InputForm</t>
  </si>
  <si>
    <t>ComboForm</t>
  </si>
  <si>
    <t>Invoice Created</t>
  </si>
  <si>
    <t>2021</t>
  </si>
  <si>
    <t>Jerry Wang</t>
  </si>
  <si>
    <t>Rosie You</t>
  </si>
  <si>
    <t>Ran You</t>
  </si>
  <si>
    <t>Tiantian Y</t>
  </si>
  <si>
    <t>Tty</t>
  </si>
  <si>
    <t>comment</t>
  </si>
  <si>
    <t>Address</t>
  </si>
  <si>
    <t>Different ways to get creative with ActiveX controls.</t>
  </si>
  <si>
    <t>ActiveX|$D$1</t>
  </si>
  <si>
    <t>ComboForm|$D$1</t>
  </si>
  <si>
    <t>Links to Other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</si>
</sst>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14" fontId="0" fillId="0" borderId="0" xfId="0" applyNumberFormat="1"/>
    <xf numFmtId="0" fontId="0" fillId="0" borderId="0" xfId="0" applyNumberFormat="1"/>
    <xf numFmtId="0" fontId="0" fillId="0" borderId="4" xfId="0" applyBorder="1" applyAlignment="1">
      <alignment horizontal="right"/>
    </xf>
    <xf numFmtId="0" fontId="0" fillId="0" borderId="4" xfId="0" applyBorder="1" applyAlignment="1">
      <alignment horizontal="center"/>
    </xf>
    <xf numFmtId="0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3" fontId="0" fillId="0" borderId="0" xfId="0" applyNumberFormat="1"/>
    <xf numFmtId="0" fontId="6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9" fontId="0" fillId="0" borderId="0" xfId="1" applyFont="1" applyBorder="1"/>
    <xf numFmtId="0" fontId="0" fillId="0" borderId="7" xfId="0" applyBorder="1"/>
    <xf numFmtId="0" fontId="6" fillId="0" borderId="7" xfId="0" applyFont="1" applyBorder="1"/>
    <xf numFmtId="3" fontId="6" fillId="0" borderId="0" xfId="0" applyNumberFormat="1" applyFont="1" applyBorder="1" applyAlignment="1">
      <alignment horizontal="right"/>
    </xf>
    <xf numFmtId="0" fontId="0" fillId="0" borderId="8" xfId="0" applyBorder="1"/>
    <xf numFmtId="0" fontId="0" fillId="0" borderId="0" xfId="0" applyAlignment="1">
      <alignment horizontal="left" indent="1"/>
    </xf>
    <xf numFmtId="0" fontId="7" fillId="0" borderId="0" xfId="0" applyFont="1" applyAlignment="1">
      <alignment horizontal="left" indent="2"/>
    </xf>
    <xf numFmtId="0" fontId="7" fillId="0" borderId="0" xfId="0" quotePrefix="1" applyFont="1" applyAlignment="1">
      <alignment horizontal="left" indent="2"/>
    </xf>
    <xf numFmtId="0" fontId="0" fillId="0" borderId="0" xfId="0" quotePrefix="1" applyAlignment="1">
      <alignment horizontal="left" indent="2"/>
    </xf>
    <xf numFmtId="0" fontId="1" fillId="4" borderId="3" xfId="0" applyNumberFormat="1" applyFont="1" applyFill="1" applyBorder="1" applyAlignment="1">
      <alignment wrapText="1"/>
    </xf>
    <xf numFmtId="0" fontId="0" fillId="0" borderId="9" xfId="0" applyBorder="1"/>
    <xf numFmtId="0" fontId="0" fillId="0" borderId="6" xfId="0" applyBorder="1"/>
    <xf numFmtId="0" fontId="0" fillId="0" borderId="10" xfId="0" applyBorder="1"/>
    <xf numFmtId="0" fontId="0" fillId="0" borderId="5" xfId="0" applyBorder="1"/>
    <xf numFmtId="0" fontId="2" fillId="0" borderId="0" xfId="0" applyFont="1" applyBorder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2981B9"/>
      <color rgb="FF006666"/>
      <color rgb="FFE6834F"/>
      <color rgb="FF29BD7D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23794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02379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Working</a:t>
          </a:r>
          <a:r>
            <a:rPr lang="en-GB" sz="2000" baseline="0">
              <a:solidFill>
                <a:srgbClr val="EFED66"/>
              </a:solidFill>
            </a:rPr>
            <a:t> with ActiveX and Userforms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7</xdr:col>
      <xdr:colOff>85725</xdr:colOff>
      <xdr:row>11</xdr:row>
      <xdr:rowOff>28574</xdr:rowOff>
    </xdr:from>
    <xdr:to>
      <xdr:col>7</xdr:col>
      <xdr:colOff>1949287</xdr:colOff>
      <xdr:row>11</xdr:row>
      <xdr:rowOff>185737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1888" y="4486274"/>
          <a:ext cx="1863562" cy="1571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369885</xdr:colOff>
      <xdr:row>4</xdr:row>
      <xdr:rowOff>150812</xdr:rowOff>
    </xdr:from>
    <xdr:to>
      <xdr:col>5</xdr:col>
      <xdr:colOff>347662</xdr:colOff>
      <xdr:row>11</xdr:row>
      <xdr:rowOff>123825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979485" y="938212"/>
          <a:ext cx="2460627" cy="1262063"/>
          <a:chOff x="979485" y="938212"/>
          <a:chExt cx="2460627" cy="1262063"/>
        </a:xfrm>
      </xdr:grpSpPr>
      <xdr:sp macro="" textlink="">
        <xdr:nvSpPr>
          <xdr:cNvPr id="2" name="GroupHelp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271587" y="1187741"/>
            <a:ext cx="2168525" cy="1012534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 baseline="0"/>
              <a:t>            Show Help check box, shows these shapes when it's checked and hides them when it's unchecked. Try it out. Go to Developer -&gt; View code to see the code. </a:t>
            </a:r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79485" y="938212"/>
            <a:ext cx="466725" cy="463550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>
                <a:latin typeface="Arial Black" panose="020B0A04020102020204" pitchFamily="34" charset="0"/>
              </a:rPr>
              <a:t>1</a:t>
            </a:r>
          </a:p>
        </xdr:txBody>
      </xdr:sp>
    </xdr:grpSp>
    <xdr:clientData/>
  </xdr:twoCellAnchor>
  <xdr:twoCellAnchor>
    <xdr:from>
      <xdr:col>1</xdr:col>
      <xdr:colOff>306386</xdr:colOff>
      <xdr:row>11</xdr:row>
      <xdr:rowOff>71436</xdr:rowOff>
    </xdr:from>
    <xdr:to>
      <xdr:col>5</xdr:col>
      <xdr:colOff>328612</xdr:colOff>
      <xdr:row>17</xdr:row>
      <xdr:rowOff>166688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986" y="2147886"/>
          <a:ext cx="2505076" cy="1206502"/>
          <a:chOff x="915986" y="2147886"/>
          <a:chExt cx="2505076" cy="1206502"/>
        </a:xfrm>
      </xdr:grpSpPr>
      <xdr:sp macro="" textlink="">
        <xdr:nvSpPr>
          <xdr:cNvPr id="8" name="GroupHelp2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1252537" y="2341854"/>
            <a:ext cx="2168525" cy="1012534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/>
              <a:t>          The drop-down allows</a:t>
            </a:r>
            <a:r>
              <a:rPr lang="en-US" sz="1100" baseline="0"/>
              <a:t> quick navigation to a specific sheet. If you add new sheets, they are automatically added to the drop-down.</a:t>
            </a:r>
            <a:endParaRPr lang="en-US" sz="1100"/>
          </a:p>
        </xdr:txBody>
      </xdr:sp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915986" y="2147886"/>
            <a:ext cx="466725" cy="463550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2000">
                <a:solidFill>
                  <a:schemeClr val="lt1"/>
                </a:solidFill>
                <a:latin typeface="Arial Black" panose="020B0A04020102020204" pitchFamily="34" charset="0"/>
                <a:ea typeface="+mn-ea"/>
                <a:cs typeface="+mn-cs"/>
              </a:rPr>
              <a:t>2</a:t>
            </a:r>
          </a:p>
        </xdr:txBody>
      </xdr:sp>
    </xdr:grpSp>
    <xdr:clientData/>
  </xdr:twoCellAnchor>
  <xdr:twoCellAnchor>
    <xdr:from>
      <xdr:col>1</xdr:col>
      <xdr:colOff>293687</xdr:colOff>
      <xdr:row>18</xdr:row>
      <xdr:rowOff>155575</xdr:rowOff>
    </xdr:from>
    <xdr:to>
      <xdr:col>5</xdr:col>
      <xdr:colOff>300037</xdr:colOff>
      <xdr:row>25</xdr:row>
      <xdr:rowOff>85726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903287" y="3527425"/>
          <a:ext cx="2489200" cy="1257301"/>
          <a:chOff x="903287" y="3527425"/>
          <a:chExt cx="2489200" cy="1257301"/>
        </a:xfrm>
      </xdr:grpSpPr>
      <xdr:sp macro="" textlink="">
        <xdr:nvSpPr>
          <xdr:cNvPr id="17" name="GroupHelp3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/>
        </xdr:nvSpPr>
        <xdr:spPr>
          <a:xfrm>
            <a:off x="1223962" y="3781717"/>
            <a:ext cx="2168525" cy="1003009"/>
          </a:xfrm>
          <a:custGeom>
            <a:avLst/>
            <a:gdLst>
              <a:gd name="connsiteX0" fmla="*/ 0 w 21600"/>
              <a:gd name="connsiteY0" fmla="*/ 0 h 21600"/>
              <a:gd name="connsiteX1" fmla="*/ 21600 w 21600"/>
              <a:gd name="connsiteY1" fmla="*/ 0 h 21600"/>
              <a:gd name="connsiteX2" fmla="*/ 21600 w 21600"/>
              <a:gd name="connsiteY2" fmla="*/ 17322 h 21600"/>
              <a:gd name="connsiteX3" fmla="*/ 0 w 21600"/>
              <a:gd name="connsiteY3" fmla="*/ 20172 h 21600"/>
              <a:gd name="connsiteX4" fmla="*/ 0 w 21600"/>
              <a:gd name="connsiteY4" fmla="*/ 0 h 21600"/>
              <a:gd name="connsiteX0" fmla="*/ 0 w 21600"/>
              <a:gd name="connsiteY0" fmla="*/ 0 h 22001"/>
              <a:gd name="connsiteX1" fmla="*/ 21600 w 21600"/>
              <a:gd name="connsiteY1" fmla="*/ 0 h 22001"/>
              <a:gd name="connsiteX2" fmla="*/ 21508 w 21600"/>
              <a:gd name="connsiteY2" fmla="*/ 20745 h 22001"/>
              <a:gd name="connsiteX3" fmla="*/ 0 w 21600"/>
              <a:gd name="connsiteY3" fmla="*/ 20172 h 22001"/>
              <a:gd name="connsiteX4" fmla="*/ 0 w 21600"/>
              <a:gd name="connsiteY4" fmla="*/ 0 h 2200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600" h="22001">
                <a:moveTo>
                  <a:pt x="0" y="0"/>
                </a:moveTo>
                <a:lnTo>
                  <a:pt x="21600" y="0"/>
                </a:lnTo>
                <a:cubicBezTo>
                  <a:pt x="21600" y="5774"/>
                  <a:pt x="21508" y="14971"/>
                  <a:pt x="21508" y="20745"/>
                </a:cubicBezTo>
                <a:cubicBezTo>
                  <a:pt x="10708" y="20745"/>
                  <a:pt x="10800" y="23922"/>
                  <a:pt x="0" y="20172"/>
                </a:cubicBezTo>
                <a:lnTo>
                  <a:pt x="0" y="0"/>
                </a:lnTo>
                <a:close/>
              </a:path>
            </a:pathLst>
          </a:custGeom>
          <a:solidFill>
            <a:schemeClr val="tx1">
              <a:lumMod val="50000"/>
              <a:lumOff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lvl="0" algn="l"/>
            <a:r>
              <a:rPr lang="en-US" sz="1100"/>
              <a:t>          You can use VBA to hide or</a:t>
            </a:r>
            <a:r>
              <a:rPr lang="en-US" sz="1100" baseline="0"/>
              <a:t> show specific controls. If you select 2017, the option buttons disappear and appear again if you select 2018. </a:t>
            </a:r>
            <a:endParaRPr lang="en-US" sz="1100"/>
          </a:p>
        </xdr:txBody>
      </xdr:sp>
      <xdr:sp macro="" textlink="">
        <xdr:nvSpPr>
          <xdr:cNvPr id="18" name="Oval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03287" y="3527425"/>
            <a:ext cx="466725" cy="454025"/>
          </a:xfrm>
          <a:prstGeom prst="ellipse">
            <a:avLst/>
          </a:prstGeom>
          <a:solidFill>
            <a:schemeClr val="tx1">
              <a:lumMod val="50000"/>
              <a:lumOff val="50000"/>
            </a:schemeClr>
          </a:solidFill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2000">
                <a:solidFill>
                  <a:schemeClr val="lt1"/>
                </a:solidFill>
                <a:latin typeface="Arial Black" panose="020B0A04020102020204" pitchFamily="34" charset="0"/>
                <a:ea typeface="+mn-ea"/>
                <a:cs typeface="+mn-cs"/>
              </a:rPr>
              <a:t>3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171450</xdr:rowOff>
        </xdr:from>
        <xdr:to>
          <xdr:col>3</xdr:col>
          <xdr:colOff>165100</xdr:colOff>
          <xdr:row>4</xdr:row>
          <xdr:rowOff>25400</xdr:rowOff>
        </xdr:to>
        <xdr:sp macro="" textlink="">
          <xdr:nvSpPr>
            <xdr:cNvPr id="3086" name="BtInsert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158750</xdr:colOff>
          <xdr:row>1</xdr:row>
          <xdr:rowOff>171450</xdr:rowOff>
        </xdr:from>
        <xdr:to>
          <xdr:col>6</xdr:col>
          <xdr:colOff>171450</xdr:colOff>
          <xdr:row>3</xdr:row>
          <xdr:rowOff>82550</xdr:rowOff>
        </xdr:to>
        <xdr:sp macro="" textlink="">
          <xdr:nvSpPr>
            <xdr:cNvPr id="3087" name="CbScree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2</xdr:row>
          <xdr:rowOff>31750</xdr:rowOff>
        </xdr:from>
        <xdr:to>
          <xdr:col>8</xdr:col>
          <xdr:colOff>254000</xdr:colOff>
          <xdr:row>3</xdr:row>
          <xdr:rowOff>63500</xdr:rowOff>
        </xdr:to>
        <xdr:sp macro="" textlink="">
          <xdr:nvSpPr>
            <xdr:cNvPr id="3088" name="CbHelp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203200</xdr:colOff>
          <xdr:row>13</xdr:row>
          <xdr:rowOff>139700</xdr:rowOff>
        </xdr:from>
        <xdr:to>
          <xdr:col>9</xdr:col>
          <xdr:colOff>584200</xdr:colOff>
          <xdr:row>15</xdr:row>
          <xdr:rowOff>88900</xdr:rowOff>
        </xdr:to>
        <xdr:sp macro="" textlink="">
          <xdr:nvSpPr>
            <xdr:cNvPr id="3089" name="CbSheet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20</xdr:row>
          <xdr:rowOff>114300</xdr:rowOff>
        </xdr:from>
        <xdr:to>
          <xdr:col>6</xdr:col>
          <xdr:colOff>1384300</xdr:colOff>
          <xdr:row>21</xdr:row>
          <xdr:rowOff>165100</xdr:rowOff>
        </xdr:to>
        <xdr:sp macro="" textlink="">
          <xdr:nvSpPr>
            <xdr:cNvPr id="3090" name="CbYear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1FBAB12F-9AA9-47A7-A0DE-6C32F1BB1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565150</xdr:colOff>
          <xdr:row>22</xdr:row>
          <xdr:rowOff>57150</xdr:rowOff>
        </xdr:from>
        <xdr:to>
          <xdr:col>6</xdr:col>
          <xdr:colOff>1397000</xdr:colOff>
          <xdr:row>23</xdr:row>
          <xdr:rowOff>63500</xdr:rowOff>
        </xdr:to>
        <xdr:sp macro="" textlink="">
          <xdr:nvSpPr>
            <xdr:cNvPr id="3092" name="OpBudget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960834CE-8369-4EAA-982B-35B850915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565150</xdr:colOff>
          <xdr:row>23</xdr:row>
          <xdr:rowOff>177800</xdr:rowOff>
        </xdr:from>
        <xdr:to>
          <xdr:col>6</xdr:col>
          <xdr:colOff>1397000</xdr:colOff>
          <xdr:row>25</xdr:row>
          <xdr:rowOff>0</xdr:rowOff>
        </xdr:to>
        <xdr:sp macro="" textlink="">
          <xdr:nvSpPr>
            <xdr:cNvPr id="3093" name="OpForecast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AF52802D-2B44-4ADB-A1A2-86262F072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5</xdr:row>
      <xdr:rowOff>88900</xdr:rowOff>
    </xdr:from>
    <xdr:to>
      <xdr:col>5</xdr:col>
      <xdr:colOff>158750</xdr:colOff>
      <xdr:row>9</xdr:row>
      <xdr:rowOff>44450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96208E5-5745-4932-983A-548CA8B712B1}"/>
            </a:ext>
          </a:extLst>
        </xdr:cNvPr>
        <xdr:cNvGrpSpPr/>
      </xdr:nvGrpSpPr>
      <xdr:grpSpPr>
        <a:xfrm>
          <a:off x="2692400" y="1111250"/>
          <a:ext cx="1060450" cy="876300"/>
          <a:chOff x="2692400" y="1111250"/>
          <a:chExt cx="1060450" cy="876300"/>
        </a:xfrm>
      </xdr:grpSpPr>
      <xdr:sp macro="[0]!show_input_form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EFA0EB3-C31B-487C-9732-DE5AD7A22580}"/>
              </a:ext>
            </a:extLst>
          </xdr:cNvPr>
          <xdr:cNvSpPr/>
        </xdr:nvSpPr>
        <xdr:spPr>
          <a:xfrm>
            <a:off x="2692400" y="1111250"/>
            <a:ext cx="1060450" cy="87630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show_input_form">
        <xdr:nvPicPr>
          <xdr:cNvPr id="3" name="Graphic 2" descr="Pencil">
            <a:extLst>
              <a:ext uri="{FF2B5EF4-FFF2-40B4-BE49-F238E27FC236}">
                <a16:creationId xmlns:a16="http://schemas.microsoft.com/office/drawing/2014/main" id="{7243C22F-F379-4B34-B727-231098081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844800" y="1136650"/>
            <a:ext cx="806450" cy="8064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273050</xdr:colOff>
          <xdr:row>9</xdr:row>
          <xdr:rowOff>57150</xdr:rowOff>
        </xdr:from>
        <xdr:to>
          <xdr:col>3</xdr:col>
          <xdr:colOff>146050</xdr:colOff>
          <xdr:row>12</xdr:row>
          <xdr:rowOff>127000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Workbook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219075</xdr:colOff>
      <xdr:row>9</xdr:row>
      <xdr:rowOff>172251</xdr:rowOff>
    </xdr:from>
    <xdr:to>
      <xdr:col>2</xdr:col>
      <xdr:colOff>28574</xdr:colOff>
      <xdr:row>12</xdr:row>
      <xdr:rowOff>38567</xdr:rowOff>
    </xdr:to>
    <xdr:pic>
      <xdr:nvPicPr>
        <xdr:cNvPr id="3" name="Graphic 2" descr="Papercli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775" y="1848651"/>
          <a:ext cx="457199" cy="4092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6666"/>
    <pageSetUpPr fitToPage="1"/>
  </sheetPr>
  <dimension ref="A1:L22"/>
  <sheetViews>
    <sheetView showGridLines="0" zoomScale="87" workbookViewId="0">
      <selection activeCell="C8" sqref="C8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2" customWidth="1"/>
    <col min="5" max="5" width="1" customWidth="1"/>
    <col min="6" max="6" width="55.269531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6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6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6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7"/>
      <c r="C4" s="7"/>
      <c r="D4" s="8"/>
      <c r="E4" s="7"/>
      <c r="F4" s="7"/>
      <c r="G4" s="7"/>
      <c r="H4" s="7"/>
      <c r="I4" s="7"/>
      <c r="J4" s="7"/>
      <c r="K4" s="1"/>
      <c r="L4" s="1"/>
    </row>
    <row r="5" spans="1:12" ht="18.5" x14ac:dyDescent="0.45">
      <c r="A5" s="1"/>
      <c r="B5" s="7"/>
      <c r="C5" s="3" t="s">
        <v>0</v>
      </c>
      <c r="D5" s="9" t="s">
        <v>1</v>
      </c>
      <c r="E5" s="7"/>
      <c r="F5" s="3" t="s">
        <v>2</v>
      </c>
      <c r="G5" s="3"/>
      <c r="H5" s="3"/>
      <c r="I5" s="7"/>
      <c r="J5" s="7"/>
      <c r="K5" s="1"/>
      <c r="L5" s="1"/>
    </row>
    <row r="6" spans="1:12" s="14" customFormat="1" ht="18.5" x14ac:dyDescent="0.45">
      <c r="A6" s="10"/>
      <c r="B6" s="11"/>
      <c r="C6" s="12"/>
      <c r="D6" s="13"/>
      <c r="E6" s="11"/>
      <c r="F6" s="12"/>
      <c r="G6" s="20"/>
      <c r="H6" s="20"/>
      <c r="I6" s="11"/>
      <c r="J6" s="11"/>
      <c r="K6" s="1"/>
      <c r="L6" s="10"/>
    </row>
    <row r="7" spans="1:12" s="56" customFormat="1" ht="116" x14ac:dyDescent="0.35">
      <c r="A7" s="50"/>
      <c r="B7" s="52"/>
      <c r="C7" s="49" t="s">
        <v>35</v>
      </c>
      <c r="D7" s="53" t="s">
        <v>3</v>
      </c>
      <c r="E7" s="52"/>
      <c r="F7" s="54" t="s">
        <v>29</v>
      </c>
      <c r="G7" s="55"/>
      <c r="H7" s="55"/>
      <c r="I7" s="52"/>
      <c r="J7" s="52"/>
      <c r="K7" s="50"/>
      <c r="L7" s="50"/>
    </row>
    <row r="8" spans="1:12" s="56" customFormat="1" ht="58" x14ac:dyDescent="0.35">
      <c r="A8" s="50"/>
      <c r="B8" s="57"/>
      <c r="C8" s="51" t="s">
        <v>36</v>
      </c>
      <c r="D8" s="58" t="s">
        <v>31</v>
      </c>
      <c r="E8" s="57"/>
      <c r="F8" s="54" t="s">
        <v>30</v>
      </c>
      <c r="G8" s="55"/>
      <c r="H8" s="55"/>
      <c r="I8" s="57"/>
      <c r="J8" s="57"/>
      <c r="K8" s="50"/>
      <c r="L8" s="50"/>
    </row>
    <row r="9" spans="1:12" s="56" customFormat="1" ht="101.5" x14ac:dyDescent="0.35">
      <c r="A9" s="50"/>
      <c r="B9" s="57"/>
      <c r="C9" s="51" t="s">
        <v>37</v>
      </c>
      <c r="D9" s="58" t="s">
        <v>32</v>
      </c>
      <c r="E9" s="57"/>
      <c r="F9" s="54" t="s">
        <v>33</v>
      </c>
      <c r="G9" s="55"/>
      <c r="H9" s="55"/>
      <c r="I9" s="57"/>
      <c r="J9" s="57"/>
      <c r="K9" s="50"/>
      <c r="L9" s="50"/>
    </row>
    <row r="10" spans="1:12" s="16" customFormat="1" ht="14.5" x14ac:dyDescent="0.35">
      <c r="A10" s="15"/>
      <c r="B10" s="17"/>
      <c r="E10" s="17"/>
      <c r="F10" s="19"/>
      <c r="G10" s="19"/>
      <c r="H10" s="20"/>
      <c r="I10" s="17"/>
      <c r="J10" s="17"/>
      <c r="K10" s="1"/>
      <c r="L10" s="15"/>
    </row>
    <row r="11" spans="1:12" s="16" customFormat="1" ht="15.5" x14ac:dyDescent="0.35">
      <c r="A11" s="15"/>
      <c r="B11" s="17"/>
      <c r="C11" s="23"/>
      <c r="D11" s="18"/>
      <c r="E11" s="17"/>
      <c r="F11" s="19"/>
      <c r="G11" s="19"/>
      <c r="H11" s="20"/>
      <c r="I11" s="17"/>
      <c r="J11" s="17"/>
      <c r="K11" s="1"/>
      <c r="L11" s="15"/>
    </row>
    <row r="12" spans="1:12" s="16" customFormat="1" ht="15.5" x14ac:dyDescent="0.35">
      <c r="A12" s="15"/>
      <c r="B12" s="17"/>
      <c r="C12" s="23"/>
      <c r="D12" s="18"/>
      <c r="E12" s="17"/>
      <c r="F12" s="20"/>
      <c r="G12" s="20"/>
      <c r="H12" s="17"/>
      <c r="I12" s="17"/>
      <c r="J12" s="17"/>
      <c r="K12" s="1"/>
      <c r="L12" s="15"/>
    </row>
    <row r="13" spans="1:12" s="16" customFormat="1" ht="14.5" x14ac:dyDescent="0.35">
      <c r="A13" s="15"/>
      <c r="B13" s="15"/>
      <c r="C13" s="15"/>
      <c r="D13" s="21"/>
      <c r="E13" s="15"/>
      <c r="F13" s="15"/>
      <c r="G13" s="15"/>
      <c r="H13" s="15"/>
      <c r="I13" s="15"/>
      <c r="J13" s="15"/>
      <c r="K13" s="1"/>
      <c r="L13" s="15"/>
    </row>
    <row r="14" spans="1:12" ht="14.5" x14ac:dyDescent="0.35">
      <c r="A14" s="15"/>
      <c r="B14" s="15"/>
      <c r="C14" s="15"/>
      <c r="D14" s="21"/>
      <c r="E14" s="15"/>
      <c r="F14" s="15"/>
      <c r="G14" s="15"/>
      <c r="H14" s="15"/>
      <c r="I14" s="15"/>
      <c r="J14" s="15"/>
      <c r="K14" s="15"/>
      <c r="L14" s="15"/>
    </row>
    <row r="15" spans="1:12" ht="14.5" hidden="1" x14ac:dyDescent="0.35"/>
    <row r="16" spans="1:12" ht="14.5" hidden="1" x14ac:dyDescent="0.35"/>
    <row r="17" ht="14.5" hidden="1" x14ac:dyDescent="0.35"/>
    <row r="18" ht="14.5" hidden="1" x14ac:dyDescent="0.35"/>
    <row r="19" ht="14.5" hidden="1" x14ac:dyDescent="0.35"/>
    <row r="20" ht="14.25" hidden="1" customHeight="1" x14ac:dyDescent="0.35"/>
    <row r="21" ht="14.25" hidden="1" customHeight="1" x14ac:dyDescent="0.35"/>
    <row r="22" ht="14.25" hidden="1" customHeight="1" x14ac:dyDescent="0.35"/>
  </sheetData>
  <hyperlinks>
    <hyperlink ref="C7" location="'ActiveX'!A1" display="ActiveX" xr:uid="{00000000-0004-0000-0000-000000000000}"/>
    <hyperlink ref="C8" location="'InputForm'!A1" display="InputForm" xr:uid="{00000000-0004-0000-0000-000001000000}"/>
    <hyperlink ref="C9" location="'ComboForm'!A1" display="ComboForm" xr:uid="{00000000-0004-0000-0000-000002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L23"/>
  <sheetViews>
    <sheetView showGridLines="0" workbookViewId="0"/>
  </sheetViews>
  <sheetFormatPr defaultRowHeight="14.5" x14ac:dyDescent="0.35"/>
  <cols>
    <col min="4" max="4" width="9.36328125" customWidth="1"/>
    <col min="5" max="5" width="8.7265625" customWidth="1"/>
    <col min="7" max="7" width="21.1796875" customWidth="1"/>
    <col min="12" max="12" width="12.26953125" customWidth="1"/>
    <col min="15" max="15" width="13.7265625" customWidth="1"/>
  </cols>
  <sheetData>
    <row r="1" spans="1:10" ht="18.5" x14ac:dyDescent="0.45">
      <c r="A1" s="4" t="s">
        <v>3</v>
      </c>
      <c r="B1" s="4"/>
      <c r="C1" s="4"/>
      <c r="D1" s="4"/>
      <c r="E1" s="4"/>
      <c r="F1" s="4"/>
      <c r="G1" s="5"/>
      <c r="H1" s="5"/>
      <c r="I1" s="5"/>
      <c r="J1" s="5"/>
    </row>
    <row r="5" spans="1:10" x14ac:dyDescent="0.35">
      <c r="A5" s="38"/>
      <c r="B5" s="38"/>
      <c r="C5" s="38"/>
      <c r="D5" s="38"/>
      <c r="E5" s="38"/>
      <c r="F5" s="38"/>
      <c r="G5" s="38"/>
      <c r="H5" s="38"/>
      <c r="I5" s="38"/>
      <c r="J5" s="38"/>
    </row>
    <row r="11" spans="1:10" x14ac:dyDescent="0.3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0" ht="15.4" customHeight="1" x14ac:dyDescent="0.35">
      <c r="A12" s="38"/>
      <c r="B12" s="38"/>
      <c r="C12" s="38"/>
      <c r="D12" s="38"/>
      <c r="E12" s="38"/>
      <c r="F12" s="38"/>
      <c r="G12" s="38"/>
      <c r="H12" s="38"/>
      <c r="I12" s="38"/>
      <c r="J12" s="38"/>
    </row>
    <row r="18" spans="1:12" x14ac:dyDescent="0.35">
      <c r="A18" s="14"/>
      <c r="B18" s="14"/>
      <c r="C18" s="14"/>
      <c r="D18" s="14"/>
      <c r="E18" s="14"/>
      <c r="F18" s="14"/>
      <c r="G18" s="14"/>
      <c r="H18" s="14"/>
      <c r="I18" s="14"/>
      <c r="J18" s="14"/>
    </row>
    <row r="19" spans="1:12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L19" s="24"/>
    </row>
    <row r="21" spans="1:12" ht="16" thickBot="1" x14ac:dyDescent="0.4">
      <c r="H21" s="36" t="s">
        <v>17</v>
      </c>
      <c r="I21" s="35"/>
      <c r="J21" s="35"/>
    </row>
    <row r="22" spans="1:12" ht="16" thickTop="1" x14ac:dyDescent="0.35">
      <c r="H22" s="31" t="s">
        <v>39</v>
      </c>
      <c r="I22" s="37">
        <f ca="1">SUMPRODUCT((Data!$B$3:$E$3=VALUE(H22))*Data!$B$4:$E$7)</f>
        <v>145783</v>
      </c>
      <c r="J22" s="14"/>
    </row>
    <row r="23" spans="1:12" x14ac:dyDescent="0.35">
      <c r="H23" s="33" t="str">
        <f>IF(Data!H4,Data!D3,IF(Data!H5,Data!C3,""))</f>
        <v>Forecast</v>
      </c>
      <c r="I23" s="32">
        <f ca="1">IF(H23="","",SUMPRODUCT((Data!$B$3:$E$3=H23)*Data!$B$4:$E$7))</f>
        <v>142567</v>
      </c>
      <c r="J23" s="34">
        <f ca="1">IF(H23="","",I22/I23-1)</f>
        <v>2.2557814922106845E-2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3" r:id="rId4" name="OpForecast">
          <controlPr defaultSize="0" autoLine="0" linkedCell="Data!H5" r:id="rId5">
            <anchor moveWithCells="1">
              <from>
                <xdr:col>5</xdr:col>
                <xdr:colOff>565150</xdr:colOff>
                <xdr:row>23</xdr:row>
                <xdr:rowOff>177800</xdr:rowOff>
              </from>
              <to>
                <xdr:col>6</xdr:col>
                <xdr:colOff>1397000</xdr:colOff>
                <xdr:row>25</xdr:row>
                <xdr:rowOff>0</xdr:rowOff>
              </to>
            </anchor>
          </controlPr>
        </control>
      </mc:Choice>
      <mc:Fallback>
        <control shapeId="3093" r:id="rId4" name="OpForecast"/>
      </mc:Fallback>
    </mc:AlternateContent>
    <mc:AlternateContent xmlns:mc="http://schemas.openxmlformats.org/markup-compatibility/2006">
      <mc:Choice Requires="x14">
        <control shapeId="3092" r:id="rId6" name="OpBudget">
          <controlPr defaultSize="0" autoLine="0" linkedCell="Data!H4" r:id="rId7">
            <anchor moveWithCells="1">
              <from>
                <xdr:col>5</xdr:col>
                <xdr:colOff>565150</xdr:colOff>
                <xdr:row>22</xdr:row>
                <xdr:rowOff>57150</xdr:rowOff>
              </from>
              <to>
                <xdr:col>6</xdr:col>
                <xdr:colOff>1397000</xdr:colOff>
                <xdr:row>23</xdr:row>
                <xdr:rowOff>63500</xdr:rowOff>
              </to>
            </anchor>
          </controlPr>
        </control>
      </mc:Choice>
      <mc:Fallback>
        <control shapeId="3092" r:id="rId6" name="OpBudget"/>
      </mc:Fallback>
    </mc:AlternateContent>
    <mc:AlternateContent xmlns:mc="http://schemas.openxmlformats.org/markup-compatibility/2006">
      <mc:Choice Requires="x14">
        <control shapeId="3090" r:id="rId8" name="CbYear">
          <controlPr defaultSize="0" autoLine="0" autoPict="0" linkedCell="H22" listFillRange="Data!G4:G5" r:id="rId9">
            <anchor moveWithCells="1">
              <from>
                <xdr:col>5</xdr:col>
                <xdr:colOff>571500</xdr:colOff>
                <xdr:row>20</xdr:row>
                <xdr:rowOff>114300</xdr:rowOff>
              </from>
              <to>
                <xdr:col>6</xdr:col>
                <xdr:colOff>1384300</xdr:colOff>
                <xdr:row>21</xdr:row>
                <xdr:rowOff>165100</xdr:rowOff>
              </to>
            </anchor>
          </controlPr>
        </control>
      </mc:Choice>
      <mc:Fallback>
        <control shapeId="3090" r:id="rId8" name="CbYear"/>
      </mc:Fallback>
    </mc:AlternateContent>
    <mc:AlternateContent xmlns:mc="http://schemas.openxmlformats.org/markup-compatibility/2006">
      <mc:Choice Requires="x14">
        <control shapeId="3086" r:id="rId10" name="BtInsert">
          <controlPr defaultSize="0" autoLine="0" r:id="rId11">
            <anchor moveWithCells="1">
              <from>
                <xdr:col>1</xdr:col>
                <xdr:colOff>50800</xdr:colOff>
                <xdr:row>1</xdr:row>
                <xdr:rowOff>171450</xdr:rowOff>
              </from>
              <to>
                <xdr:col>3</xdr:col>
                <xdr:colOff>165100</xdr:colOff>
                <xdr:row>4</xdr:row>
                <xdr:rowOff>25400</xdr:rowOff>
              </to>
            </anchor>
          </controlPr>
        </control>
      </mc:Choice>
      <mc:Fallback>
        <control shapeId="3086" r:id="rId10" name="BtInsert"/>
      </mc:Fallback>
    </mc:AlternateContent>
    <mc:AlternateContent xmlns:mc="http://schemas.openxmlformats.org/markup-compatibility/2006">
      <mc:Choice Requires="x14">
        <control shapeId="3087" r:id="rId12" name="CbScreen">
          <controlPr defaultSize="0" autoLine="0" r:id="rId13">
            <anchor moveWithCells="1">
              <from>
                <xdr:col>4</xdr:col>
                <xdr:colOff>158750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82550</xdr:rowOff>
              </to>
            </anchor>
          </controlPr>
        </control>
      </mc:Choice>
      <mc:Fallback>
        <control shapeId="3087" r:id="rId12" name="CbScreen"/>
      </mc:Fallback>
    </mc:AlternateContent>
    <mc:AlternateContent xmlns:mc="http://schemas.openxmlformats.org/markup-compatibility/2006">
      <mc:Choice Requires="x14">
        <control shapeId="3088" r:id="rId14" name="CbHelp">
          <controlPr defaultSize="0" autoLine="0" r:id="rId15">
            <anchor moveWithCells="1">
              <from>
                <xdr:col>7</xdr:col>
                <xdr:colOff>57150</xdr:colOff>
                <xdr:row>2</xdr:row>
                <xdr:rowOff>31750</xdr:rowOff>
              </from>
              <to>
                <xdr:col>8</xdr:col>
                <xdr:colOff>254000</xdr:colOff>
                <xdr:row>3</xdr:row>
                <xdr:rowOff>63500</xdr:rowOff>
              </to>
            </anchor>
          </controlPr>
        </control>
      </mc:Choice>
      <mc:Fallback>
        <control shapeId="3088" r:id="rId14" name="CbHelp"/>
      </mc:Fallback>
    </mc:AlternateContent>
    <mc:AlternateContent xmlns:mc="http://schemas.openxmlformats.org/markup-compatibility/2006">
      <mc:Choice Requires="x14">
        <control shapeId="3089" r:id="rId16" name="CbSheet">
          <controlPr defaultSize="0" autoLine="0" r:id="rId17">
            <anchor moveWithCells="1">
              <from>
                <xdr:col>7</xdr:col>
                <xdr:colOff>203200</xdr:colOff>
                <xdr:row>13</xdr:row>
                <xdr:rowOff>139700</xdr:rowOff>
              </from>
              <to>
                <xdr:col>9</xdr:col>
                <xdr:colOff>584200</xdr:colOff>
                <xdr:row>15</xdr:row>
                <xdr:rowOff>88900</xdr:rowOff>
              </to>
            </anchor>
          </controlPr>
        </control>
      </mc:Choice>
      <mc:Fallback>
        <control shapeId="3089" r:id="rId16" name="CbShe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Data"/>
  <dimension ref="A1:H7"/>
  <sheetViews>
    <sheetView workbookViewId="0">
      <selection activeCell="D13" sqref="D13"/>
    </sheetView>
  </sheetViews>
  <sheetFormatPr defaultRowHeight="14.5" x14ac:dyDescent="0.35"/>
  <cols>
    <col min="1" max="1" width="11.26953125" customWidth="1"/>
  </cols>
  <sheetData>
    <row r="1" spans="1:8" ht="18.5" x14ac:dyDescent="0.45">
      <c r="A1" s="4" t="s">
        <v>12</v>
      </c>
      <c r="B1" s="4"/>
      <c r="C1" s="4"/>
      <c r="D1" s="4"/>
      <c r="E1" s="4"/>
    </row>
    <row r="3" spans="1:8" x14ac:dyDescent="0.35">
      <c r="B3" s="28">
        <f ca="1">YEAR(TODAY())</f>
        <v>2021</v>
      </c>
      <c r="C3" s="29" t="s">
        <v>11</v>
      </c>
      <c r="D3" s="29" t="s">
        <v>6</v>
      </c>
      <c r="E3" s="28">
        <f ca="1">B3-1</f>
        <v>2020</v>
      </c>
      <c r="G3" s="26" t="s">
        <v>13</v>
      </c>
      <c r="H3" s="27" t="s">
        <v>14</v>
      </c>
    </row>
    <row r="4" spans="1:8" x14ac:dyDescent="0.35">
      <c r="A4" t="s">
        <v>4</v>
      </c>
      <c r="B4" s="30">
        <v>34196</v>
      </c>
      <c r="C4" s="30">
        <v>24325</v>
      </c>
      <c r="D4" s="30">
        <v>29938</v>
      </c>
      <c r="E4" s="30">
        <v>31955</v>
      </c>
      <c r="G4" s="25">
        <f ca="1">YEAR(TODAY())</f>
        <v>2021</v>
      </c>
      <c r="H4" t="b">
        <v>0</v>
      </c>
    </row>
    <row r="5" spans="1:8" x14ac:dyDescent="0.35">
      <c r="A5" t="s">
        <v>5</v>
      </c>
      <c r="B5" s="30">
        <v>20898</v>
      </c>
      <c r="C5" s="30">
        <v>33681</v>
      </c>
      <c r="D5" s="30">
        <v>31955</v>
      </c>
      <c r="E5" s="30">
        <v>11598</v>
      </c>
      <c r="G5">
        <f ca="1">G4-1</f>
        <v>2020</v>
      </c>
      <c r="H5" t="b">
        <v>1</v>
      </c>
    </row>
    <row r="6" spans="1:8" x14ac:dyDescent="0.35">
      <c r="A6" t="s">
        <v>15</v>
      </c>
      <c r="B6" s="30">
        <v>46994</v>
      </c>
      <c r="C6" s="30">
        <v>39295</v>
      </c>
      <c r="D6" s="30">
        <v>52311</v>
      </c>
      <c r="E6" s="30">
        <v>53963</v>
      </c>
    </row>
    <row r="7" spans="1:8" x14ac:dyDescent="0.35">
      <c r="A7" t="s">
        <v>16</v>
      </c>
      <c r="B7" s="30">
        <v>43695</v>
      </c>
      <c r="C7" s="30">
        <v>45266</v>
      </c>
      <c r="D7" s="30">
        <v>60900</v>
      </c>
      <c r="E7" s="30">
        <v>65965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Input">
    <tabColor theme="2" tint="-0.499984740745262"/>
  </sheetPr>
  <dimension ref="A1:H30"/>
  <sheetViews>
    <sheetView showGridLines="0" workbookViewId="0">
      <selection activeCell="K13" sqref="K13"/>
    </sheetView>
  </sheetViews>
  <sheetFormatPr defaultRowHeight="14.5" x14ac:dyDescent="0.35"/>
  <cols>
    <col min="1" max="1" width="11.26953125" customWidth="1"/>
    <col min="2" max="2" width="14" customWidth="1"/>
  </cols>
  <sheetData>
    <row r="1" spans="1:8" ht="18.5" x14ac:dyDescent="0.45">
      <c r="A1" s="4" t="s">
        <v>31</v>
      </c>
      <c r="B1" s="4"/>
      <c r="C1" s="4"/>
      <c r="D1" s="4"/>
      <c r="E1" s="4"/>
      <c r="F1" s="4"/>
      <c r="G1" s="5"/>
      <c r="H1" s="5"/>
    </row>
    <row r="2" spans="1:8" ht="18.5" x14ac:dyDescent="0.45">
      <c r="A2" t="s">
        <v>27</v>
      </c>
      <c r="B2" s="48"/>
      <c r="C2" s="48"/>
      <c r="D2" s="48"/>
      <c r="E2" s="48"/>
      <c r="F2" s="48"/>
      <c r="G2" s="14"/>
      <c r="H2" s="14"/>
    </row>
    <row r="3" spans="1:8" x14ac:dyDescent="0.35">
      <c r="A3" t="s">
        <v>28</v>
      </c>
    </row>
    <row r="4" spans="1:8" x14ac:dyDescent="0.35">
      <c r="A4" s="39" t="s">
        <v>23</v>
      </c>
    </row>
    <row r="5" spans="1:8" x14ac:dyDescent="0.35">
      <c r="A5" s="39" t="s">
        <v>24</v>
      </c>
    </row>
    <row r="7" spans="1:8" ht="29" x14ac:dyDescent="0.35">
      <c r="A7" s="43" t="s">
        <v>7</v>
      </c>
      <c r="B7" s="43" t="s">
        <v>8</v>
      </c>
      <c r="C7" s="43" t="s">
        <v>38</v>
      </c>
    </row>
    <row r="8" spans="1:8" x14ac:dyDescent="0.35">
      <c r="A8" s="44" t="s">
        <v>25</v>
      </c>
      <c r="B8" s="45">
        <v>300</v>
      </c>
      <c r="C8" s="45" t="s">
        <v>10</v>
      </c>
    </row>
    <row r="9" spans="1:8" x14ac:dyDescent="0.35">
      <c r="A9" s="46" t="s">
        <v>26</v>
      </c>
      <c r="B9" s="47">
        <v>400</v>
      </c>
      <c r="C9" s="45" t="s">
        <v>9</v>
      </c>
    </row>
    <row r="10" spans="1:8" x14ac:dyDescent="0.35">
      <c r="A10" s="47" t="s">
        <v>40</v>
      </c>
      <c r="B10" s="47">
        <v>300</v>
      </c>
      <c r="C10" s="47"/>
    </row>
    <row r="11" spans="1:8" x14ac:dyDescent="0.35">
      <c r="A11" s="47" t="s">
        <v>41</v>
      </c>
      <c r="B11" s="47">
        <v>1230</v>
      </c>
      <c r="C11" s="47"/>
    </row>
    <row r="12" spans="1:8" x14ac:dyDescent="0.35">
      <c r="A12" s="47" t="s">
        <v>42</v>
      </c>
      <c r="B12" s="47">
        <v>2340</v>
      </c>
      <c r="C12" s="47" t="s">
        <v>9</v>
      </c>
    </row>
    <row r="13" spans="1:8" x14ac:dyDescent="0.35">
      <c r="A13" s="47" t="s">
        <v>43</v>
      </c>
      <c r="B13" s="47">
        <v>230</v>
      </c>
      <c r="C13" s="47" t="s">
        <v>10</v>
      </c>
    </row>
    <row r="14" spans="1:8" x14ac:dyDescent="0.35">
      <c r="A14" s="47" t="s">
        <v>44</v>
      </c>
      <c r="B14" s="47">
        <v>230</v>
      </c>
      <c r="C14" s="47" t="s">
        <v>10</v>
      </c>
    </row>
    <row r="15" spans="1:8" x14ac:dyDescent="0.35">
      <c r="A15" s="47" t="s">
        <v>44</v>
      </c>
      <c r="B15" s="47">
        <v>231</v>
      </c>
      <c r="C15" s="47" t="s">
        <v>9</v>
      </c>
    </row>
    <row r="16" spans="1:8" x14ac:dyDescent="0.35">
      <c r="A16" s="47"/>
      <c r="B16" s="47"/>
      <c r="C16" s="47"/>
    </row>
    <row r="17" spans="1:3" x14ac:dyDescent="0.35">
      <c r="A17" s="47"/>
      <c r="B17" s="47"/>
      <c r="C17" s="47"/>
    </row>
    <row r="18" spans="1:3" x14ac:dyDescent="0.35">
      <c r="A18" s="47"/>
      <c r="B18" s="47"/>
      <c r="C18" s="47"/>
    </row>
    <row r="19" spans="1:3" x14ac:dyDescent="0.35">
      <c r="A19" s="47"/>
      <c r="B19" s="47"/>
      <c r="C19" s="47"/>
    </row>
    <row r="20" spans="1:3" x14ac:dyDescent="0.35">
      <c r="A20" s="47"/>
      <c r="B20" s="47"/>
      <c r="C20" s="47"/>
    </row>
    <row r="21" spans="1:3" x14ac:dyDescent="0.35">
      <c r="A21" s="47"/>
      <c r="B21" s="47"/>
      <c r="C21" s="47"/>
    </row>
    <row r="22" spans="1:3" x14ac:dyDescent="0.35">
      <c r="A22" s="47"/>
      <c r="B22" s="47"/>
      <c r="C22" s="47"/>
    </row>
    <row r="23" spans="1:3" x14ac:dyDescent="0.35">
      <c r="A23" s="47"/>
      <c r="B23" s="47"/>
      <c r="C23" s="47"/>
    </row>
    <row r="24" spans="1:3" x14ac:dyDescent="0.35">
      <c r="A24" s="47"/>
      <c r="B24" s="47"/>
      <c r="C24" s="47"/>
    </row>
    <row r="25" spans="1:3" x14ac:dyDescent="0.35">
      <c r="A25" s="47"/>
      <c r="B25" s="47"/>
      <c r="C25" s="47"/>
    </row>
    <row r="26" spans="1:3" x14ac:dyDescent="0.35">
      <c r="A26" s="47"/>
      <c r="B26" s="47"/>
      <c r="C26" s="47"/>
    </row>
    <row r="27" spans="1:3" x14ac:dyDescent="0.35">
      <c r="A27" s="47"/>
      <c r="B27" s="47"/>
      <c r="C27" s="47"/>
    </row>
    <row r="28" spans="1:3" x14ac:dyDescent="0.35">
      <c r="A28" s="47"/>
      <c r="B28" s="47"/>
      <c r="C28" s="47"/>
    </row>
    <row r="29" spans="1:3" x14ac:dyDescent="0.35">
      <c r="A29" s="47"/>
      <c r="B29" s="47"/>
      <c r="C29" s="47"/>
    </row>
    <row r="30" spans="1:3" x14ac:dyDescent="0.35">
      <c r="A30" s="47"/>
      <c r="B30" s="47"/>
      <c r="C30" s="4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97A0A-1B80-4A80-8849-AA390CAD52C7}">
  <sheetPr codeName="Sheet5">
    <tabColor theme="2" tint="-0.499984740745262"/>
  </sheetPr>
  <dimension ref="A1:B3"/>
  <sheetViews>
    <sheetView workbookViewId="0">
      <selection activeCell="A6" sqref="A6"/>
    </sheetView>
  </sheetViews>
  <sheetFormatPr defaultRowHeight="14.5" x14ac:dyDescent="0.35"/>
  <cols>
    <col min="1" max="1" width="68.26953125" customWidth="1"/>
  </cols>
  <sheetData>
    <row r="1" spans="1:2" x14ac:dyDescent="0.35">
      <c r="A1" t="s">
        <v>45</v>
      </c>
      <c r="B1" t="s">
        <v>46</v>
      </c>
    </row>
    <row r="2" spans="1:2" x14ac:dyDescent="0.35">
      <c r="A2" t="s">
        <v>47</v>
      </c>
      <c r="B2" t="s">
        <v>48</v>
      </c>
    </row>
    <row r="3" spans="1:2" x14ac:dyDescent="0.35">
      <c r="A3" t="s">
        <v>47</v>
      </c>
      <c r="B3" t="s">
        <v>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D3F8-8DCE-4526-A486-9D27564CD7A4}">
  <sheetPr codeName="Sheet6">
    <tabColor theme="2" tint="-0.499984740745262"/>
  </sheetPr>
  <dimension ref="A1:B1"/>
  <sheetViews>
    <sheetView tabSelected="1" workbookViewId="0"/>
  </sheetViews>
  <sheetFormatPr defaultRowHeight="14.5" x14ac:dyDescent="0.35"/>
  <sheetData>
    <row r="1" spans="1:2" x14ac:dyDescent="0.35">
      <c r="A1" t="s">
        <v>50</v>
      </c>
      <c r="B1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2" tint="-0.499984740745262"/>
  </sheetPr>
  <dimension ref="A1:J8"/>
  <sheetViews>
    <sheetView showGridLines="0" workbookViewId="0">
      <selection activeCell="E16" sqref="E16"/>
    </sheetView>
  </sheetViews>
  <sheetFormatPr defaultRowHeight="14.5" x14ac:dyDescent="0.35"/>
  <sheetData>
    <row r="1" spans="1:10" ht="18.5" x14ac:dyDescent="0.45">
      <c r="A1" s="4" t="s">
        <v>32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35">
      <c r="A3" t="s">
        <v>34</v>
      </c>
    </row>
    <row r="4" spans="1:10" x14ac:dyDescent="0.35">
      <c r="A4" s="39" t="s">
        <v>18</v>
      </c>
    </row>
    <row r="5" spans="1:10" x14ac:dyDescent="0.35">
      <c r="A5" s="40" t="s">
        <v>20</v>
      </c>
    </row>
    <row r="6" spans="1:10" x14ac:dyDescent="0.35">
      <c r="A6" s="41" t="s">
        <v>21</v>
      </c>
    </row>
    <row r="7" spans="1:10" x14ac:dyDescent="0.35">
      <c r="A7" s="42" t="s">
        <v>19</v>
      </c>
    </row>
    <row r="8" spans="1:10" x14ac:dyDescent="0.35">
      <c r="A8" t="s">
        <v>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autoFill="0" autoPict="0" macro="[0]!show_combo_form">
                <anchor moveWithCells="1" sizeWithCells="1">
                  <from>
                    <xdr:col>1</xdr:col>
                    <xdr:colOff>273050</xdr:colOff>
                    <xdr:row>9</xdr:row>
                    <xdr:rowOff>57150</xdr:rowOff>
                  </from>
                  <to>
                    <xdr:col>3</xdr:col>
                    <xdr:colOff>146050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ActiveX</vt:lpstr>
      <vt:lpstr>Data</vt:lpstr>
      <vt:lpstr>InputForm</vt:lpstr>
      <vt:lpstr>Sheet3</vt:lpstr>
      <vt:lpstr>Sheet4</vt:lpstr>
      <vt:lpstr>ComboForm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2021-09-05T23:52:38Z</dcterms:modified>
</cp:coreProperties>
</file>