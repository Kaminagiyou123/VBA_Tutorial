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nyou\Documents\VBA Complete Files\"/>
    </mc:Choice>
  </mc:AlternateContent>
  <xr:revisionPtr revIDLastSave="0" documentId="13_ncr:1_{C24CA93F-D1AE-4298-9684-86AC11607325}" xr6:coauthVersionLast="36" xr6:coauthVersionMax="36" xr10:uidLastSave="{00000000-0000-0000-0000-000000000000}"/>
  <bookViews>
    <workbookView xWindow="0" yWindow="0" windowWidth="19200" windowHeight="8250" activeTab="1" xr2:uid="{00000000-000D-0000-FFFF-FFFF00000000}"/>
  </bookViews>
  <sheets>
    <sheet name="Dashboard" sheetId="5" r:id="rId1"/>
    <sheet name="Invoice" sheetId="1" r:id="rId2"/>
    <sheet name="Instructions" sheetId="3" r:id="rId3"/>
    <sheet name="Masterdata" sheetId="2" r:id="rId4"/>
    <sheet name="Template" sheetId="4" r:id="rId5"/>
    <sheet name="Calculation" sheetId="9" r:id="rId6"/>
  </sheets>
  <definedNames>
    <definedName name="ExcelPath">Dashboard!$M$17</definedName>
    <definedName name="myCompany">CustomerTable[Company]</definedName>
    <definedName name="mycustomer">CustomerTable[Customer]</definedName>
    <definedName name="PDFPath">Dashboard!$M$14</definedName>
    <definedName name="_xlnm.Print_Area" localSheetId="4">Template!$A$1:$E$35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3" i="1" l="1"/>
  <c r="T43" i="1"/>
  <c r="AA43" i="1" s="1"/>
  <c r="X43" i="1"/>
  <c r="AB43" i="1"/>
  <c r="R42" i="1"/>
  <c r="T42" i="1" s="1"/>
  <c r="X42" i="1"/>
  <c r="AB42" i="1"/>
  <c r="U43" i="1" l="1"/>
  <c r="AA42" i="1"/>
  <c r="U42" i="1" s="1"/>
  <c r="R41" i="1"/>
  <c r="T41" i="1" s="1"/>
  <c r="X41" i="1"/>
  <c r="AB41" i="1" l="1"/>
  <c r="AA41" i="1"/>
  <c r="U41" i="1" s="1"/>
  <c r="R40" i="1"/>
  <c r="T40" i="1" s="1"/>
  <c r="X40" i="1"/>
  <c r="R39" i="1"/>
  <c r="T39" i="1" s="1"/>
  <c r="X39" i="1"/>
  <c r="AB40" i="1" l="1"/>
  <c r="AA40" i="1"/>
  <c r="U40" i="1" s="1"/>
  <c r="AB39" i="1"/>
  <c r="AA39" i="1"/>
  <c r="U39" i="1" s="1"/>
  <c r="C1" i="5"/>
  <c r="E3" i="9" l="1"/>
  <c r="C2" i="5"/>
  <c r="R29" i="1" l="1"/>
  <c r="AB29" i="1" s="1"/>
  <c r="R30" i="1"/>
  <c r="T30" i="1" s="1"/>
  <c r="R31" i="1"/>
  <c r="AB31" i="1" s="1"/>
  <c r="R32" i="1"/>
  <c r="T32" i="1" s="1"/>
  <c r="R33" i="1"/>
  <c r="T33" i="1" s="1"/>
  <c r="AA33" i="1" s="1"/>
  <c r="U33" i="1" s="1"/>
  <c r="R34" i="1"/>
  <c r="AB34" i="1" s="1"/>
  <c r="R35" i="1"/>
  <c r="T35" i="1" s="1"/>
  <c r="AA35" i="1" s="1"/>
  <c r="U35" i="1" s="1"/>
  <c r="R36" i="1"/>
  <c r="T36" i="1" s="1"/>
  <c r="R37" i="1"/>
  <c r="T37" i="1" s="1"/>
  <c r="AA37" i="1" s="1"/>
  <c r="U37" i="1" s="1"/>
  <c r="R38" i="1"/>
  <c r="AB38" i="1" s="1"/>
  <c r="X29" i="1"/>
  <c r="X30" i="1"/>
  <c r="X31" i="1"/>
  <c r="X32" i="1"/>
  <c r="X33" i="1"/>
  <c r="X34" i="1"/>
  <c r="X35" i="1"/>
  <c r="X36" i="1"/>
  <c r="X37" i="1"/>
  <c r="X38" i="1"/>
  <c r="T38" i="1" l="1"/>
  <c r="AA38" i="1" s="1"/>
  <c r="U38" i="1" s="1"/>
  <c r="AB33" i="1"/>
  <c r="T31" i="1"/>
  <c r="AA31" i="1" s="1"/>
  <c r="U31" i="1" s="1"/>
  <c r="AB37" i="1"/>
  <c r="T29" i="1"/>
  <c r="AA29" i="1" s="1"/>
  <c r="U29" i="1" s="1"/>
  <c r="AB35" i="1"/>
  <c r="T34" i="1"/>
  <c r="AA34" i="1" s="1"/>
  <c r="U34" i="1" s="1"/>
  <c r="AA30" i="1"/>
  <c r="U30" i="1" s="1"/>
  <c r="AB30" i="1"/>
  <c r="AB36" i="1"/>
  <c r="AB32" i="1"/>
  <c r="AA36" i="1"/>
  <c r="U36" i="1" s="1"/>
  <c r="AA32" i="1"/>
  <c r="U32" i="1" s="1"/>
  <c r="X8" i="1" l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D26" i="4" l="1"/>
  <c r="D25" i="4"/>
  <c r="R28" i="1"/>
  <c r="AB28" i="1" s="1"/>
  <c r="R27" i="1"/>
  <c r="AB27" i="1" s="1"/>
  <c r="R26" i="1"/>
  <c r="AB26" i="1" s="1"/>
  <c r="C25" i="9"/>
  <c r="T28" i="1" l="1"/>
  <c r="AA28" i="1" s="1"/>
  <c r="U28" i="1" s="1"/>
  <c r="D27" i="4"/>
  <c r="T27" i="1"/>
  <c r="AA27" i="1" s="1"/>
  <c r="U27" i="1" s="1"/>
  <c r="T26" i="1"/>
  <c r="AA26" i="1" s="1"/>
  <c r="U26" i="1" s="1"/>
  <c r="C49" i="9"/>
  <c r="C41" i="9"/>
  <c r="C48" i="9"/>
  <c r="C40" i="9"/>
  <c r="C32" i="9"/>
  <c r="C24" i="9"/>
  <c r="C47" i="9"/>
  <c r="C31" i="9"/>
  <c r="C23" i="9"/>
  <c r="C7" i="9"/>
  <c r="C38" i="9"/>
  <c r="C53" i="9"/>
  <c r="C45" i="9"/>
  <c r="C37" i="9"/>
  <c r="C29" i="9"/>
  <c r="C21" i="9"/>
  <c r="C39" i="9"/>
  <c r="C46" i="9"/>
  <c r="C52" i="9"/>
  <c r="C44" i="9"/>
  <c r="C36" i="9"/>
  <c r="C28" i="9"/>
  <c r="C20" i="9"/>
  <c r="C12" i="9"/>
  <c r="C30" i="9"/>
  <c r="C51" i="9"/>
  <c r="C43" i="9"/>
  <c r="C35" i="9"/>
  <c r="C27" i="9"/>
  <c r="C19" i="9"/>
  <c r="C26" i="9"/>
  <c r="C50" i="9"/>
  <c r="C34" i="9"/>
  <c r="C33" i="9"/>
  <c r="C42" i="9"/>
  <c r="C6" i="9"/>
  <c r="C18" i="9" l="1"/>
  <c r="C17" i="9"/>
  <c r="C16" i="9"/>
  <c r="R9" i="1"/>
  <c r="T9" i="1" s="1"/>
  <c r="R10" i="1"/>
  <c r="R11" i="1"/>
  <c r="T11" i="1" s="1"/>
  <c r="R12" i="1"/>
  <c r="T12" i="1" s="1"/>
  <c r="R13" i="1"/>
  <c r="T13" i="1" s="1"/>
  <c r="R14" i="1"/>
  <c r="T14" i="1" s="1"/>
  <c r="R15" i="1"/>
  <c r="T15" i="1" s="1"/>
  <c r="R16" i="1"/>
  <c r="T16" i="1" s="1"/>
  <c r="R17" i="1"/>
  <c r="T17" i="1" s="1"/>
  <c r="R18" i="1"/>
  <c r="T18" i="1" s="1"/>
  <c r="R19" i="1"/>
  <c r="T19" i="1" s="1"/>
  <c r="R20" i="1"/>
  <c r="T20" i="1" s="1"/>
  <c r="R21" i="1"/>
  <c r="T21" i="1" s="1"/>
  <c r="R22" i="1"/>
  <c r="T22" i="1" s="1"/>
  <c r="R23" i="1"/>
  <c r="T23" i="1" s="1"/>
  <c r="R24" i="1"/>
  <c r="T24" i="1" s="1"/>
  <c r="C14" i="9" s="1"/>
  <c r="R25" i="1"/>
  <c r="T25" i="1" s="1"/>
  <c r="C15" i="9" s="1"/>
  <c r="C11" i="9" l="1"/>
  <c r="C13" i="9"/>
  <c r="C10" i="9"/>
  <c r="C9" i="9"/>
  <c r="AB25" i="1"/>
  <c r="AB21" i="1"/>
  <c r="AA16" i="1"/>
  <c r="U16" i="1" s="1"/>
  <c r="AA11" i="1"/>
  <c r="U11" i="1" s="1"/>
  <c r="AA24" i="1"/>
  <c r="U24" i="1" s="1"/>
  <c r="AB24" i="1"/>
  <c r="AA10" i="1"/>
  <c r="U10" i="1" s="1"/>
  <c r="AA21" i="1"/>
  <c r="U21" i="1" s="1"/>
  <c r="AA19" i="1"/>
  <c r="U19" i="1" s="1"/>
  <c r="AA14" i="1"/>
  <c r="U14" i="1" s="1"/>
  <c r="AA18" i="1"/>
  <c r="U18" i="1" s="1"/>
  <c r="AA13" i="1"/>
  <c r="U13" i="1" s="1"/>
  <c r="AA17" i="1"/>
  <c r="U17" i="1" s="1"/>
  <c r="AA22" i="1"/>
  <c r="U22" i="1" s="1"/>
  <c r="AA23" i="1"/>
  <c r="U23" i="1" s="1"/>
  <c r="AA15" i="1"/>
  <c r="U15" i="1" s="1"/>
  <c r="AA20" i="1"/>
  <c r="U20" i="1" s="1"/>
  <c r="AA12" i="1"/>
  <c r="U12" i="1" s="1"/>
  <c r="AB23" i="1"/>
  <c r="AB20" i="1"/>
  <c r="AB19" i="1"/>
  <c r="AB22" i="1"/>
  <c r="AA25" i="1" l="1"/>
  <c r="U25" i="1" s="1"/>
  <c r="AB18" i="1"/>
  <c r="AB17" i="1"/>
  <c r="AB16" i="1"/>
  <c r="AB15" i="1" l="1"/>
  <c r="AB13" i="1"/>
  <c r="AB10" i="1" l="1"/>
  <c r="AB11" i="1"/>
  <c r="AB12" i="1"/>
  <c r="AB9" i="1" l="1"/>
  <c r="R8" i="1"/>
  <c r="AB8" i="1" l="1"/>
  <c r="T8" i="1"/>
  <c r="C8" i="9" s="1"/>
  <c r="AA9" i="1"/>
  <c r="U9" i="1" s="1"/>
  <c r="AA8" i="1" l="1"/>
  <c r="U8" i="1" s="1"/>
  <c r="C2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C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Replace this with =today() formula, if you'd like this to be updated automatically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E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Replace this with =today() if you'd like this to be updated automatically</t>
        </r>
      </text>
    </comment>
  </commentList>
</comments>
</file>

<file path=xl/sharedStrings.xml><?xml version="1.0" encoding="utf-8"?>
<sst xmlns="http://schemas.openxmlformats.org/spreadsheetml/2006/main" count="591" uniqueCount="306">
  <si>
    <t>Customer</t>
  </si>
  <si>
    <t>Invoice number</t>
  </si>
  <si>
    <t>Company</t>
  </si>
  <si>
    <t>UID</t>
  </si>
  <si>
    <t>Additional Expenses</t>
  </si>
  <si>
    <t>Net Amount</t>
  </si>
  <si>
    <t>Address Line 1</t>
  </si>
  <si>
    <t>Address Line 2</t>
  </si>
  <si>
    <t>Address Line 3</t>
  </si>
  <si>
    <t>Date</t>
  </si>
  <si>
    <t>Blend</t>
  </si>
  <si>
    <t>Voltage</t>
  </si>
  <si>
    <t>Inkly</t>
  </si>
  <si>
    <t>Sleops</t>
  </si>
  <si>
    <t>Kind Ape</t>
  </si>
  <si>
    <t>Pet Feed</t>
  </si>
  <si>
    <t>Silvrr</t>
  </si>
  <si>
    <t>Kryptis</t>
  </si>
  <si>
    <t>Hackrr</t>
  </si>
  <si>
    <t>Pes</t>
  </si>
  <si>
    <t>deRamblr</t>
  </si>
  <si>
    <t>Arcade</t>
  </si>
  <si>
    <t>2120 Eagle Lane</t>
  </si>
  <si>
    <t>Underwood</t>
  </si>
  <si>
    <t>MN 56586</t>
  </si>
  <si>
    <t>2748 Haul Road</t>
  </si>
  <si>
    <t>Eagan</t>
  </si>
  <si>
    <t>MN 55121</t>
  </si>
  <si>
    <t>2529 Paradise Lane</t>
  </si>
  <si>
    <t>CA 91766</t>
  </si>
  <si>
    <t>Pomona</t>
  </si>
  <si>
    <t>1792 Parrish Avenue</t>
  </si>
  <si>
    <t>CA 95054</t>
  </si>
  <si>
    <t>Santa Clara</t>
  </si>
  <si>
    <t>123 Parrish Avenue</t>
  </si>
  <si>
    <t>67 Parrish Avenue</t>
  </si>
  <si>
    <t>523 Confederate Drive</t>
  </si>
  <si>
    <t>Amber</t>
  </si>
  <si>
    <t>NY 13110</t>
  </si>
  <si>
    <t>605 Old Dear Lane</t>
  </si>
  <si>
    <t>NY 10013</t>
  </si>
  <si>
    <t>New York</t>
  </si>
  <si>
    <t>CA 93901</t>
  </si>
  <si>
    <t>Salinas</t>
  </si>
  <si>
    <t>James Willard</t>
  </si>
  <si>
    <t>Richard Elliot</t>
  </si>
  <si>
    <t>Roger Mun</t>
  </si>
  <si>
    <t>Natalie Porter</t>
  </si>
  <si>
    <t>Kim West</t>
  </si>
  <si>
    <t>Stevie Bridge</t>
  </si>
  <si>
    <t>Andre Cooper</t>
  </si>
  <si>
    <t>Crystal Doyle</t>
  </si>
  <si>
    <t>Daniel Garrett</t>
  </si>
  <si>
    <t>Corinna Schmidt</t>
  </si>
  <si>
    <t>Betina Bauer</t>
  </si>
  <si>
    <t>Wiener Strasse 35</t>
  </si>
  <si>
    <t>1300 Vienna</t>
  </si>
  <si>
    <t>Austria</t>
  </si>
  <si>
    <t>Floridusgasse 18</t>
  </si>
  <si>
    <t>2500 Vienna</t>
  </si>
  <si>
    <t>Floridusgasse 16</t>
  </si>
  <si>
    <t>2600 Vienna</t>
  </si>
  <si>
    <t>Brigitte Bond</t>
  </si>
  <si>
    <t>Robert Blume</t>
  </si>
  <si>
    <t>Mike Saban</t>
  </si>
  <si>
    <t>Maria Tot</t>
  </si>
  <si>
    <t>Lukas Hofer</t>
  </si>
  <si>
    <t>Walter Miller</t>
  </si>
  <si>
    <t>Daniela Schreiber</t>
  </si>
  <si>
    <t>Ellmenreichstrasse 5936</t>
  </si>
  <si>
    <t>Germany</t>
  </si>
  <si>
    <t>6520 Ebermannstadt</t>
  </si>
  <si>
    <t>Peter Ramsy</t>
  </si>
  <si>
    <t>Scharnweberstrasse 870</t>
  </si>
  <si>
    <t>4899 Abtsteinach</t>
  </si>
  <si>
    <t>Scharnweberstrasse 80</t>
  </si>
  <si>
    <t>Wolfgang Ramjac</t>
  </si>
  <si>
    <t>Dan Ziegler</t>
  </si>
  <si>
    <t>4372 Salina Street</t>
  </si>
  <si>
    <t>Twistrr Productivity</t>
  </si>
  <si>
    <t>Twistrr Games</t>
  </si>
  <si>
    <t>Twistrr Utility</t>
  </si>
  <si>
    <t>Twistrr Kids</t>
  </si>
  <si>
    <t>Twistrr Clothes</t>
  </si>
  <si>
    <t>Baden Paper</t>
  </si>
  <si>
    <t>Right App Learning</t>
  </si>
  <si>
    <t>Right App Play</t>
  </si>
  <si>
    <t>WenCaL US</t>
  </si>
  <si>
    <t>WenCaL UK</t>
  </si>
  <si>
    <t>12 Guild Street</t>
  </si>
  <si>
    <t>E5 4XU London</t>
  </si>
  <si>
    <t>74 Sutton Wick Lane</t>
  </si>
  <si>
    <t>DE4 9RH London</t>
  </si>
  <si>
    <t>Ewan Thompson</t>
  </si>
  <si>
    <t>59 Copthorne Way</t>
  </si>
  <si>
    <t>CB5 2LZ CAMBRIDGE</t>
  </si>
  <si>
    <t>30 Copthorne Way</t>
  </si>
  <si>
    <t>CB5 0HP CAMBRIDGE</t>
  </si>
  <si>
    <t>VAT</t>
  </si>
  <si>
    <t>United Kingdom</t>
  </si>
  <si>
    <t>Switzerland</t>
  </si>
  <si>
    <t>Ganggasse 142</t>
  </si>
  <si>
    <t>Wolfensbergstrasse 109</t>
  </si>
  <si>
    <t>3656 Ringoldswil</t>
  </si>
  <si>
    <t>DE314550698</t>
  </si>
  <si>
    <t>DE675550698</t>
  </si>
  <si>
    <t>DE314845698</t>
  </si>
  <si>
    <t>DE358950698</t>
  </si>
  <si>
    <t>ATU56751255</t>
  </si>
  <si>
    <t>ATU56472745</t>
  </si>
  <si>
    <t>ATU56752794</t>
  </si>
  <si>
    <t>ATU87452774</t>
  </si>
  <si>
    <t>ATU53642748</t>
  </si>
  <si>
    <t>ATU56755475</t>
  </si>
  <si>
    <t>ATU56745712</t>
  </si>
  <si>
    <t>ATU56751288</t>
  </si>
  <si>
    <t>ATU56755879</t>
  </si>
  <si>
    <t>GB718186591</t>
  </si>
  <si>
    <t>GB919680834</t>
  </si>
  <si>
    <t>GB367365816</t>
  </si>
  <si>
    <t>GB697413887</t>
  </si>
  <si>
    <t>Robert Marquez</t>
  </si>
  <si>
    <t>Robert Spear</t>
  </si>
  <si>
    <t>Robert Richardson</t>
  </si>
  <si>
    <t>Paul Wells</t>
  </si>
  <si>
    <t>Paul Garza</t>
  </si>
  <si>
    <t>Leila Gharani</t>
  </si>
  <si>
    <t>Schmidtgasse 87</t>
  </si>
  <si>
    <t>8960 Wien</t>
  </si>
  <si>
    <t>UID: ATU8956324</t>
  </si>
  <si>
    <t>Payment terms</t>
  </si>
  <si>
    <t>Services</t>
  </si>
  <si>
    <t>Time Period</t>
  </si>
  <si>
    <t>Price in EUR</t>
  </si>
  <si>
    <t>Subtotal</t>
  </si>
  <si>
    <t>Total</t>
  </si>
  <si>
    <t>Bank Info</t>
  </si>
  <si>
    <t>IBAN: 2342456435</t>
  </si>
  <si>
    <t>BIC: GIBARESCXX</t>
  </si>
  <si>
    <t>VAT in %</t>
  </si>
  <si>
    <t>14 days net</t>
  </si>
  <si>
    <t>Services Line 1</t>
  </si>
  <si>
    <t>Services Line 2</t>
  </si>
  <si>
    <t>Services Line 3</t>
  </si>
  <si>
    <t>Final Invoiced Amount</t>
  </si>
  <si>
    <t>Invoice Date</t>
  </si>
  <si>
    <t>Agreed Amount Total</t>
  </si>
  <si>
    <t>Due by</t>
  </si>
  <si>
    <t>Paid</t>
  </si>
  <si>
    <t>Date Paid</t>
  </si>
  <si>
    <t>VAT to Pay</t>
  </si>
  <si>
    <t>Transfer Savings</t>
  </si>
  <si>
    <t>Status</t>
  </si>
  <si>
    <t>Date Line 1</t>
  </si>
  <si>
    <t>Amount Line 1</t>
  </si>
  <si>
    <t>Date Line 2</t>
  </si>
  <si>
    <t>Amount Line 2</t>
  </si>
  <si>
    <t>Date Line 3</t>
  </si>
  <si>
    <t>Amount Line 3</t>
  </si>
  <si>
    <t>Email</t>
  </si>
  <si>
    <t>Gary Miller</t>
  </si>
  <si>
    <t>Gary.Miller@WenCaL .com</t>
  </si>
  <si>
    <t>James.Willard@Blend.com</t>
  </si>
  <si>
    <t>Richard.Elliot@Voltage.com</t>
  </si>
  <si>
    <t>Robert.Spear@Inkly.com</t>
  </si>
  <si>
    <t>Roger.Mun@Sleops.com</t>
  </si>
  <si>
    <t>Paul.Garza@Kind .com</t>
  </si>
  <si>
    <t>Robert.Marquez@Pet .com</t>
  </si>
  <si>
    <t>Natalie.Porter@Right .com</t>
  </si>
  <si>
    <t>Kim.West@Right .com</t>
  </si>
  <si>
    <t>Stevie.Bridge@Hackrr.com</t>
  </si>
  <si>
    <t>Crystal.Doyle@Silvrr.com</t>
  </si>
  <si>
    <t>Daniel.Garrett@Rehire.at</t>
  </si>
  <si>
    <t>Corinna.Schmidt@Kryptis.at</t>
  </si>
  <si>
    <t>Ewan.Thompson@Perino .co.uk</t>
  </si>
  <si>
    <t>Walter.Miller@Twistrr .com</t>
  </si>
  <si>
    <t>Paul.Wells@Hackrr.com</t>
  </si>
  <si>
    <t>Betina.Bauer@Pes.at</t>
  </si>
  <si>
    <t>Daniela.Schreiber@Baden .de</t>
  </si>
  <si>
    <t>Dan.Ziegler@Baden .de</t>
  </si>
  <si>
    <t>Peter.Ramsy@deRamblr.de</t>
  </si>
  <si>
    <t>Wolfgang.Ramjac@Arcade.de</t>
  </si>
  <si>
    <t>Robert.Richardson@WenCaL .co.uk</t>
  </si>
  <si>
    <t>Brigitte.Bond@Twistrr .com</t>
  </si>
  <si>
    <t>Robert.Blume@Twistrr .com</t>
  </si>
  <si>
    <t>Mike.Saban@Twistrr .com</t>
  </si>
  <si>
    <t>Maria.Tot@Twistrr .com</t>
  </si>
  <si>
    <t>Lukas.Hofer@Kryptis.com</t>
  </si>
  <si>
    <t>twist</t>
  </si>
  <si>
    <t>Robert</t>
  </si>
  <si>
    <t>Robert Musser</t>
  </si>
  <si>
    <t>Dasring</t>
  </si>
  <si>
    <t>Hauptstrasse 14</t>
  </si>
  <si>
    <t>3587 Salzburg</t>
  </si>
  <si>
    <t>ATU56754789</t>
  </si>
  <si>
    <t>Rehire</t>
  </si>
  <si>
    <t>1250 Salzburg</t>
  </si>
  <si>
    <t>Ann Withers</t>
  </si>
  <si>
    <t>Didactic</t>
  </si>
  <si>
    <t>Strickstrasse 123</t>
  </si>
  <si>
    <t>8098 Zürich</t>
  </si>
  <si>
    <t>Paul Hill</t>
  </si>
  <si>
    <t>Fightrr</t>
  </si>
  <si>
    <t>Brunnacherstrasse 40</t>
  </si>
  <si>
    <t>8036 Zürich</t>
  </si>
  <si>
    <t>Perino</t>
  </si>
  <si>
    <t>Baden Packaging</t>
  </si>
  <si>
    <t>Net amount</t>
  </si>
  <si>
    <t>Outstanding</t>
  </si>
  <si>
    <t>Jobs done</t>
  </si>
  <si>
    <t>Dashboard Calculations</t>
  </si>
  <si>
    <t>For Overview Chart</t>
  </si>
  <si>
    <t>Invoice</t>
  </si>
  <si>
    <t/>
  </si>
  <si>
    <t>Add / Edit Customer in Master Data</t>
  </si>
  <si>
    <t>20/21.01.2016</t>
  </si>
  <si>
    <t>26/27.01.2016</t>
  </si>
  <si>
    <t>26.02.2016</t>
  </si>
  <si>
    <t>12.01.2016 - 13.03.2016</t>
  </si>
  <si>
    <t>6.02.2016-18.03.2016</t>
  </si>
  <si>
    <t>25/26.03.2016</t>
  </si>
  <si>
    <t>17/18.03.2016</t>
  </si>
  <si>
    <t>23.02.2016</t>
  </si>
  <si>
    <t>15/16.04.2016</t>
  </si>
  <si>
    <t>27/28.04.2016</t>
  </si>
  <si>
    <t>27/28/29.05.2016</t>
  </si>
  <si>
    <t>06/05/2016 + 15/06/2016</t>
  </si>
  <si>
    <t>27.07. - 07.08.2016</t>
  </si>
  <si>
    <t>23/09/2016-25/09/2016</t>
  </si>
  <si>
    <t>20/10/2016 &amp; 22/10/2016</t>
  </si>
  <si>
    <t>12/13.11. &amp; 19/20.11. 2016</t>
  </si>
  <si>
    <t>Service 1</t>
  </si>
  <si>
    <t>Service 2</t>
  </si>
  <si>
    <t>Service 8</t>
  </si>
  <si>
    <t>Service 3</t>
  </si>
  <si>
    <t>Service 4</t>
  </si>
  <si>
    <t>Service 5</t>
  </si>
  <si>
    <t>Service 6</t>
  </si>
  <si>
    <t>Service 7</t>
  </si>
  <si>
    <t>Service 9</t>
  </si>
  <si>
    <t>Service 10</t>
  </si>
  <si>
    <t>Service 11</t>
  </si>
  <si>
    <t>Service 12</t>
  </si>
  <si>
    <t>Service 13</t>
  </si>
  <si>
    <t>Service 14</t>
  </si>
  <si>
    <t>Service 15</t>
  </si>
  <si>
    <t>Service 16</t>
  </si>
  <si>
    <t>Service 17</t>
  </si>
  <si>
    <t>Service 18</t>
  </si>
  <si>
    <t>Service 19</t>
  </si>
  <si>
    <t>Service 20</t>
  </si>
  <si>
    <t>IT Services</t>
  </si>
  <si>
    <t>Programming new tool</t>
  </si>
  <si>
    <t>Consulting</t>
  </si>
  <si>
    <t>Andre.Cooper@Perino.co.uk</t>
  </si>
  <si>
    <t>Inspiration:</t>
  </si>
  <si>
    <t>Current date:</t>
  </si>
  <si>
    <t>Purpose of the Invoice Generator Tool</t>
  </si>
  <si>
    <t xml:space="preserve">in one place. </t>
  </si>
  <si>
    <t>This tool makes creating invoices a pleasant admin task. It no longer takes 20-30 minutes per invoice but instead</t>
  </si>
  <si>
    <t>just a few clicks that takes 2-3 minutes.</t>
  </si>
  <si>
    <t>open invoices and money made.</t>
  </si>
  <si>
    <t>Here are the Steps</t>
  </si>
  <si>
    <t>1. Update Master Data</t>
  </si>
  <si>
    <t xml:space="preserve">Input your original customer master data in the master data tab. </t>
  </si>
  <si>
    <t>2. Update the Template</t>
  </si>
  <si>
    <t>If you'd like to change other parts of the template, double-check the VBA code to ensure you have updated these</t>
  </si>
  <si>
    <t>accordingly.</t>
  </si>
  <si>
    <t>Note: I have fixed the date in cell C1 of the Dashboard tab. Change this to =today() to get it dynamic.</t>
  </si>
  <si>
    <t>3. Update the Folder paths</t>
  </si>
  <si>
    <t>Make sure you create two folders to keep the PDF versions as well as Excel Versions for each invoice created.</t>
  </si>
  <si>
    <t>4. Adding Invoice Information</t>
  </si>
  <si>
    <t xml:space="preserve">As projects come in, add the information to the invoice tab. Start typing the name of the customer in column B </t>
  </si>
  <si>
    <t>You'll get a list of invoices that have a blank status.</t>
  </si>
  <si>
    <t>5. Calculations for Dashboard</t>
  </si>
  <si>
    <t xml:space="preserve">The "Calculations" tab contains the data preparation table for the chart on the "Dashboard" tab. The technique used </t>
  </si>
  <si>
    <t>here is included in my online Excel Dashboards course.</t>
  </si>
  <si>
    <t>The aim of this tool is to automate the invoice generation procedure and keep an overview of the status of all invoices</t>
  </si>
  <si>
    <t>Having the information for all the invoices in one place, allows you to keep an eye on jobs completed,</t>
  </si>
  <si>
    <r>
      <t xml:space="preserve">Add new customer from the Dashboard tab, by clicking on </t>
    </r>
    <r>
      <rPr>
        <i/>
        <sz val="11"/>
        <color theme="1"/>
        <rFont val="Arial"/>
        <family val="2"/>
        <scheme val="minor"/>
      </rPr>
      <t>Add</t>
    </r>
    <r>
      <rPr>
        <sz val="11"/>
        <color theme="1"/>
        <rFont val="Arial"/>
        <family val="2"/>
        <scheme val="minor"/>
      </rPr>
      <t xml:space="preserve"> </t>
    </r>
    <r>
      <rPr>
        <i/>
        <sz val="11"/>
        <color theme="1"/>
        <rFont val="Arial"/>
        <family val="2"/>
        <scheme val="minor"/>
      </rPr>
      <t>Customer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</si>
  <si>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Edit customer information by clicking on </t>
    </r>
    <r>
      <rPr>
        <i/>
        <sz val="11"/>
        <color theme="1"/>
        <rFont val="Arial"/>
        <family val="2"/>
        <scheme val="minor"/>
      </rPr>
      <t>Edit Master Data</t>
    </r>
    <r>
      <rPr>
        <sz val="11"/>
        <color theme="1"/>
        <rFont val="Arial"/>
        <family val="2"/>
        <scheme val="minor"/>
      </rPr>
      <t xml:space="preserve"> button.</t>
    </r>
  </si>
  <si>
    <t>Update the look of the template by adding your logo.</t>
  </si>
  <si>
    <r>
      <t>The folders should be created in the directory as wherever this tool is saved. VBA uses</t>
    </r>
    <r>
      <rPr>
        <i/>
        <sz val="11"/>
        <color theme="1"/>
        <rFont val="Arial"/>
        <family val="2"/>
        <scheme val="minor"/>
      </rPr>
      <t xml:space="preserve"> thisworkbook.path</t>
    </r>
    <r>
      <rPr>
        <sz val="11"/>
        <color theme="1"/>
        <rFont val="Arial"/>
        <family val="2"/>
        <scheme val="minor"/>
      </rPr>
      <t xml:space="preserve"> to find </t>
    </r>
  </si>
  <si>
    <t>the directory and then looks for the folders you have specified on the dashboard page inside this directory.</t>
  </si>
  <si>
    <r>
      <t xml:space="preserve">then press </t>
    </r>
    <r>
      <rPr>
        <i/>
        <sz val="11"/>
        <color theme="1"/>
        <rFont val="Arial"/>
        <family val="2"/>
        <scheme val="minor"/>
      </rPr>
      <t>Enter</t>
    </r>
    <r>
      <rPr>
        <sz val="11"/>
        <color theme="1"/>
        <rFont val="Arial"/>
        <family val="2"/>
        <scheme val="minor"/>
      </rPr>
      <t xml:space="preserve"> and select the correct customer from the list. Type in the remaining information.</t>
    </r>
  </si>
  <si>
    <r>
      <t xml:space="preserve">Once your job is complete, click on the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</si>
  <si>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Select the invoice you'd like to create and click on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>.</t>
    </r>
  </si>
  <si>
    <t>If you'd like to create the email with the customer's email address and PDF attached, then click on Create email.</t>
  </si>
  <si>
    <r>
      <t xml:space="preserve">Note: </t>
    </r>
    <r>
      <rPr>
        <i/>
        <sz val="11"/>
        <color theme="1"/>
        <rFont val="Arial"/>
        <family val="2"/>
        <scheme val="minor"/>
      </rPr>
      <t>Create email</t>
    </r>
    <r>
      <rPr>
        <sz val="11"/>
        <color theme="1"/>
        <rFont val="Arial"/>
        <family val="2"/>
        <scheme val="minor"/>
      </rPr>
      <t>, does not send the email, it creates a draft email which you can customize further if you'd like</t>
    </r>
  </si>
  <si>
    <r>
      <t xml:space="preserve">prior to sending </t>
    </r>
    <r>
      <rPr>
        <sz val="11"/>
        <color theme="4"/>
        <rFont val="Arial"/>
        <family val="2"/>
        <scheme val="minor"/>
      </rPr>
      <t xml:space="preserve">(This works if you have Outlook and you've added a tick mark to reference the Outlook library in your </t>
    </r>
  </si>
  <si>
    <t>VBA project as show in the tutorials)</t>
  </si>
  <si>
    <t xml:space="preserve">Note: This Invoice Generator Tool is a part of my Excel VBA course on Udemy.com. </t>
  </si>
  <si>
    <t>Find out more on www.xelplus.com\courses</t>
  </si>
  <si>
    <t>Rmusse@Dasring.com</t>
  </si>
  <si>
    <t>Garrett@Rehire.com</t>
  </si>
  <si>
    <t>Phill@Fightrr.com</t>
  </si>
  <si>
    <t>Bank Name</t>
  </si>
  <si>
    <t>• Edit customer data if info has changed</t>
  </si>
  <si>
    <t>• Add new customer data to master data</t>
  </si>
  <si>
    <t>Type and Enter to select customer or company</t>
  </si>
  <si>
    <t>Relevant folder path</t>
  </si>
  <si>
    <t>PDF Versions</t>
  </si>
  <si>
    <t>invoice\PDF</t>
  </si>
  <si>
    <t>Excel Versions</t>
  </si>
  <si>
    <t>invoice\Excel</t>
  </si>
  <si>
    <t>Created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</si>
</sst>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€-2]\ * #,##0.00_);_([$€-2]\ * \(#,##0.00\);_([$€-2]\ * &quot;-&quot;??_);_(@_)"/>
    <numFmt numFmtId="165" formatCode="mmmmm\ yy"/>
    <numFmt numFmtId="166" formatCode="0%;\-0%;"/>
  </numFmts>
  <fonts count="22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 tint="0.249977111117893"/>
      <name val="Arial"/>
      <family val="2"/>
    </font>
    <font>
      <sz val="11"/>
      <color theme="1" tint="0.34998626667073579"/>
      <name val="Arial"/>
      <family val="2"/>
      <scheme val="minor"/>
    </font>
    <font>
      <b/>
      <sz val="16"/>
      <color theme="1" tint="0.249977111117893"/>
      <name val="Arial"/>
      <family val="2"/>
      <scheme val="minor"/>
    </font>
    <font>
      <b/>
      <sz val="11"/>
      <color theme="0" tint="-0.499984740745262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 tint="0.14999847407452621"/>
      <name val="Arial"/>
      <family val="2"/>
      <scheme val="minor"/>
    </font>
    <font>
      <b/>
      <sz val="14"/>
      <color theme="0" tint="-0.499984740745262"/>
      <name val="Arial"/>
      <family val="2"/>
      <scheme val="minor"/>
    </font>
    <font>
      <b/>
      <sz val="11"/>
      <color theme="1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14999847407452621"/>
      <name val="Arial"/>
      <family val="2"/>
      <scheme val="minor"/>
    </font>
    <font>
      <b/>
      <sz val="14"/>
      <color theme="1"/>
      <name val="Arial"/>
      <family val="2"/>
      <scheme val="minor"/>
    </font>
    <font>
      <i/>
      <sz val="11"/>
      <color theme="1"/>
      <name val="Arial"/>
      <family val="2"/>
      <scheme val="minor"/>
    </font>
    <font>
      <sz val="11"/>
      <color theme="4"/>
      <name val="Arial"/>
      <family val="2"/>
      <scheme val="minor"/>
    </font>
    <font>
      <sz val="11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</cellStyleXfs>
  <cellXfs count="103">
    <xf numFmtId="0" fontId="0" fillId="0" borderId="0" xfId="0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0" fillId="0" borderId="0" xfId="0" applyProtection="1"/>
    <xf numFmtId="0" fontId="3" fillId="2" borderId="0" xfId="0" applyFont="1" applyFill="1" applyProtection="1"/>
    <xf numFmtId="43" fontId="0" fillId="0" borderId="0" xfId="0" applyNumberFormat="1"/>
    <xf numFmtId="0" fontId="0" fillId="0" borderId="0" xfId="0" applyBorder="1" applyProtection="1"/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Alignment="1" applyProtection="1">
      <alignment vertical="center"/>
    </xf>
    <xf numFmtId="4" fontId="6" fillId="5" borderId="0" xfId="0" applyNumberFormat="1" applyFont="1" applyFill="1" applyAlignment="1" applyProtection="1">
      <alignment wrapText="1"/>
    </xf>
    <xf numFmtId="0" fontId="0" fillId="7" borderId="0" xfId="0" applyFill="1"/>
    <xf numFmtId="164" fontId="9" fillId="7" borderId="0" xfId="0" applyNumberFormat="1" applyFont="1" applyFill="1" applyAlignment="1">
      <alignment horizontal="center" vertical="center"/>
    </xf>
    <xf numFmtId="0" fontId="0" fillId="7" borderId="3" xfId="0" applyFill="1" applyBorder="1"/>
    <xf numFmtId="0" fontId="0" fillId="7" borderId="0" xfId="0" applyFill="1" applyBorder="1"/>
    <xf numFmtId="37" fontId="9" fillId="7" borderId="0" xfId="0" applyNumberFormat="1" applyFont="1" applyFill="1" applyAlignment="1">
      <alignment horizontal="center" vertical="center"/>
    </xf>
    <xf numFmtId="0" fontId="10" fillId="7" borderId="0" xfId="0" applyNumberFormat="1" applyFont="1" applyFill="1" applyAlignment="1">
      <alignment horizontal="center" vertical="center"/>
    </xf>
    <xf numFmtId="0" fontId="8" fillId="7" borderId="0" xfId="0" applyFont="1" applyFill="1"/>
    <xf numFmtId="0" fontId="0" fillId="8" borderId="0" xfId="0" applyFill="1"/>
    <xf numFmtId="0" fontId="11" fillId="8" borderId="0" xfId="0" applyFont="1" applyFill="1" applyAlignment="1">
      <alignment horizontal="left" indent="1"/>
    </xf>
    <xf numFmtId="0" fontId="0" fillId="0" borderId="4" xfId="0" applyBorder="1"/>
    <xf numFmtId="14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5" xfId="0" applyBorder="1" applyAlignment="1">
      <alignment horizontal="left" vertical="center" wrapText="1"/>
    </xf>
    <xf numFmtId="0" fontId="0" fillId="0" borderId="5" xfId="0" applyFont="1" applyBorder="1" applyAlignment="1">
      <alignment horizontal="center" vertical="center" wrapText="1"/>
    </xf>
    <xf numFmtId="43" fontId="0" fillId="0" borderId="5" xfId="1" applyNumberFormat="1" applyFont="1" applyBorder="1" applyAlignment="1">
      <alignment horizontal="center" vertical="center"/>
    </xf>
    <xf numFmtId="9" fontId="0" fillId="0" borderId="5" xfId="2" applyFont="1" applyBorder="1" applyAlignment="1">
      <alignment horizontal="center" vertical="center" wrapText="1"/>
    </xf>
    <xf numFmtId="0" fontId="4" fillId="3" borderId="5" xfId="3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left" indent="1"/>
    </xf>
    <xf numFmtId="14" fontId="0" fillId="0" borderId="5" xfId="0" applyNumberFormat="1" applyFont="1" applyBorder="1" applyAlignment="1">
      <alignment horizontal="center" vertical="center" wrapText="1"/>
    </xf>
    <xf numFmtId="0" fontId="6" fillId="0" borderId="0" xfId="0" applyFont="1" applyAlignment="1" applyProtection="1">
      <alignment wrapText="1"/>
      <protection locked="0"/>
    </xf>
    <xf numFmtId="14" fontId="6" fillId="0" borderId="0" xfId="0" applyNumberFormat="1" applyFont="1" applyAlignment="1" applyProtection="1">
      <alignment horizontal="left" wrapText="1"/>
      <protection locked="0"/>
    </xf>
    <xf numFmtId="4" fontId="6" fillId="0" borderId="0" xfId="0" applyNumberFormat="1" applyFont="1" applyAlignment="1" applyProtection="1">
      <alignment wrapText="1"/>
      <protection locked="0"/>
    </xf>
    <xf numFmtId="4" fontId="6" fillId="0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Border="1" applyAlignment="1" applyProtection="1">
      <alignment wrapText="1"/>
      <protection locked="0"/>
    </xf>
    <xf numFmtId="14" fontId="6" fillId="0" borderId="0" xfId="0" applyNumberFormat="1" applyFont="1" applyFill="1" applyBorder="1" applyAlignment="1" applyProtection="1">
      <alignment horizontal="left" wrapText="1"/>
      <protection locked="0"/>
    </xf>
    <xf numFmtId="0" fontId="6" fillId="4" borderId="0" xfId="0" applyFont="1" applyFill="1" applyProtection="1">
      <protection locked="0"/>
    </xf>
    <xf numFmtId="0" fontId="6" fillId="4" borderId="0" xfId="0" applyFont="1" applyFill="1" applyBorder="1" applyProtection="1">
      <protection locked="0"/>
    </xf>
    <xf numFmtId="4" fontId="6" fillId="4" borderId="0" xfId="0" applyNumberFormat="1" applyFont="1" applyFill="1" applyProtection="1">
      <protection locked="0"/>
    </xf>
    <xf numFmtId="4" fontId="6" fillId="4" borderId="0" xfId="0" applyNumberFormat="1" applyFont="1" applyFill="1" applyAlignment="1" applyProtection="1">
      <alignment wrapText="1"/>
      <protection locked="0"/>
    </xf>
    <xf numFmtId="0" fontId="6" fillId="0" borderId="0" xfId="0" applyFont="1" applyProtection="1">
      <protection locked="0"/>
    </xf>
    <xf numFmtId="4" fontId="6" fillId="4" borderId="0" xfId="0" applyNumberFormat="1" applyFont="1" applyFill="1" applyBorder="1" applyProtection="1">
      <protection locked="0"/>
    </xf>
    <xf numFmtId="4" fontId="6" fillId="4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 applyProtection="1">
      <protection locked="0"/>
    </xf>
    <xf numFmtId="4" fontId="6" fillId="0" borderId="0" xfId="0" applyNumberFormat="1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7" fillId="0" borderId="2" xfId="0" applyFont="1" applyFill="1" applyBorder="1" applyAlignment="1" applyProtection="1">
      <alignment wrapText="1"/>
      <protection locked="0"/>
    </xf>
    <xf numFmtId="0" fontId="7" fillId="0" borderId="2" xfId="0" applyFont="1" applyFill="1" applyBorder="1" applyProtection="1">
      <protection locked="0"/>
    </xf>
    <xf numFmtId="9" fontId="7" fillId="0" borderId="2" xfId="2" applyFont="1" applyFill="1" applyBorder="1" applyAlignment="1" applyProtection="1">
      <alignment wrapText="1"/>
      <protection locked="0"/>
    </xf>
    <xf numFmtId="4" fontId="7" fillId="0" borderId="2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6" fillId="5" borderId="0" xfId="0" applyFont="1" applyFill="1" applyProtection="1">
      <protection locked="0"/>
    </xf>
    <xf numFmtId="4" fontId="6" fillId="5" borderId="0" xfId="0" applyNumberFormat="1" applyFont="1" applyFill="1" applyAlignment="1" applyProtection="1">
      <alignment wrapText="1"/>
      <protection locked="0"/>
    </xf>
    <xf numFmtId="3" fontId="6" fillId="0" borderId="0" xfId="0" applyNumberFormat="1" applyFont="1" applyAlignment="1" applyProtection="1">
      <alignment wrapText="1"/>
      <protection locked="0"/>
    </xf>
    <xf numFmtId="14" fontId="6" fillId="6" borderId="0" xfId="0" applyNumberFormat="1" applyFont="1" applyFill="1" applyAlignment="1" applyProtection="1">
      <alignment wrapText="1"/>
      <protection locked="0"/>
    </xf>
    <xf numFmtId="14" fontId="6" fillId="5" borderId="0" xfId="0" applyNumberFormat="1" applyFont="1" applyFill="1" applyAlignment="1" applyProtection="1">
      <alignment wrapText="1"/>
      <protection locked="0"/>
    </xf>
    <xf numFmtId="14" fontId="6" fillId="0" borderId="0" xfId="0" applyNumberFormat="1" applyFont="1" applyAlignment="1" applyProtection="1">
      <alignment wrapText="1"/>
      <protection locked="0"/>
    </xf>
    <xf numFmtId="0" fontId="6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6" fillId="5" borderId="0" xfId="0" applyFont="1" applyFill="1" applyAlignment="1" applyProtection="1">
      <alignment wrapText="1"/>
      <protection locked="0"/>
    </xf>
    <xf numFmtId="3" fontId="6" fillId="0" borderId="0" xfId="0" applyNumberFormat="1" applyFont="1" applyFill="1" applyBorder="1" applyAlignment="1" applyProtection="1">
      <alignment wrapText="1"/>
      <protection locked="0"/>
    </xf>
    <xf numFmtId="14" fontId="6" fillId="6" borderId="0" xfId="0" applyNumberFormat="1" applyFont="1" applyFill="1" applyBorder="1" applyAlignment="1" applyProtection="1">
      <alignment wrapText="1"/>
      <protection locked="0"/>
    </xf>
    <xf numFmtId="14" fontId="6" fillId="5" borderId="0" xfId="0" applyNumberFormat="1" applyFont="1" applyFill="1" applyBorder="1" applyAlignment="1" applyProtection="1">
      <alignment wrapText="1"/>
      <protection locked="0"/>
    </xf>
    <xf numFmtId="14" fontId="6" fillId="0" borderId="0" xfId="0" applyNumberFormat="1" applyFont="1" applyFill="1" applyBorder="1" applyAlignment="1" applyProtection="1">
      <alignment wrapText="1"/>
      <protection locked="0"/>
    </xf>
    <xf numFmtId="4" fontId="6" fillId="5" borderId="0" xfId="0" applyNumberFormat="1" applyFont="1" applyFill="1" applyBorder="1" applyAlignment="1" applyProtection="1">
      <alignment wrapText="1"/>
      <protection locked="0"/>
    </xf>
    <xf numFmtId="0" fontId="6" fillId="0" borderId="0" xfId="0" applyFont="1" applyFill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9" fontId="6" fillId="0" borderId="0" xfId="2" applyFont="1" applyAlignment="1" applyProtection="1">
      <alignment wrapText="1"/>
      <protection locked="0"/>
    </xf>
    <xf numFmtId="9" fontId="6" fillId="0" borderId="0" xfId="2" applyFont="1" applyProtection="1">
      <protection locked="0"/>
    </xf>
    <xf numFmtId="4" fontId="6" fillId="0" borderId="0" xfId="0" applyNumberFormat="1" applyFont="1" applyProtection="1">
      <protection locked="0"/>
    </xf>
    <xf numFmtId="14" fontId="17" fillId="7" borderId="0" xfId="0" applyNumberFormat="1" applyFont="1" applyFill="1"/>
    <xf numFmtId="0" fontId="0" fillId="9" borderId="0" xfId="0" applyFill="1"/>
    <xf numFmtId="0" fontId="0" fillId="8" borderId="6" xfId="0" applyFill="1" applyBorder="1"/>
    <xf numFmtId="0" fontId="18" fillId="8" borderId="7" xfId="0" quotePrefix="1" applyFont="1" applyFill="1" applyBorder="1"/>
    <xf numFmtId="0" fontId="18" fillId="8" borderId="7" xfId="0" applyFont="1" applyFill="1" applyBorder="1"/>
    <xf numFmtId="0" fontId="0" fillId="8" borderId="7" xfId="0" applyFill="1" applyBorder="1"/>
    <xf numFmtId="0" fontId="0" fillId="8" borderId="7" xfId="0" quotePrefix="1" applyFill="1" applyBorder="1"/>
    <xf numFmtId="0" fontId="0" fillId="8" borderId="8" xfId="0" applyFill="1" applyBorder="1"/>
    <xf numFmtId="0" fontId="0" fillId="8" borderId="6" xfId="0" quotePrefix="1" applyFill="1" applyBorder="1"/>
    <xf numFmtId="0" fontId="0" fillId="8" borderId="9" xfId="0" applyFill="1" applyBorder="1"/>
    <xf numFmtId="0" fontId="0" fillId="8" borderId="7" xfId="0" applyFill="1" applyBorder="1" applyAlignment="1">
      <alignment horizontal="left"/>
    </xf>
    <xf numFmtId="0" fontId="14" fillId="8" borderId="7" xfId="0" applyFont="1" applyFill="1" applyBorder="1"/>
    <xf numFmtId="0" fontId="0" fillId="8" borderId="7" xfId="0" applyFont="1" applyFill="1" applyBorder="1"/>
    <xf numFmtId="0" fontId="20" fillId="8" borderId="7" xfId="0" applyFont="1" applyFill="1" applyBorder="1"/>
    <xf numFmtId="0" fontId="6" fillId="6" borderId="0" xfId="0" applyNumberFormat="1" applyFont="1" applyFill="1" applyAlignment="1" applyProtection="1">
      <alignment wrapText="1"/>
      <protection locked="0"/>
    </xf>
    <xf numFmtId="0" fontId="0" fillId="0" borderId="0" xfId="0" applyNumberFormat="1" applyAlignment="1">
      <alignment horizontal="left"/>
    </xf>
    <xf numFmtId="166" fontId="6" fillId="5" borderId="0" xfId="2" applyNumberFormat="1" applyFont="1" applyFill="1" applyProtection="1">
      <protection locked="0"/>
    </xf>
    <xf numFmtId="166" fontId="6" fillId="5" borderId="0" xfId="2" applyNumberFormat="1" applyFont="1" applyFill="1" applyAlignment="1" applyProtection="1">
      <alignment wrapText="1"/>
      <protection locked="0"/>
    </xf>
    <xf numFmtId="166" fontId="0" fillId="5" borderId="0" xfId="2" applyNumberFormat="1" applyFont="1" applyFill="1" applyProtection="1">
      <protection locked="0"/>
    </xf>
    <xf numFmtId="166" fontId="3" fillId="2" borderId="0" xfId="2" applyNumberFormat="1" applyFont="1" applyFill="1" applyProtection="1"/>
    <xf numFmtId="166" fontId="0" fillId="0" borderId="0" xfId="2" applyNumberFormat="1" applyFont="1" applyFill="1" applyProtection="1"/>
    <xf numFmtId="166" fontId="0" fillId="0" borderId="0" xfId="2" applyNumberFormat="1" applyFont="1" applyProtection="1"/>
    <xf numFmtId="0" fontId="13" fillId="7" borderId="0" xfId="0" applyNumberFormat="1" applyFont="1" applyFill="1" applyAlignment="1">
      <alignment horizontal="center" vertical="center"/>
    </xf>
    <xf numFmtId="0" fontId="0" fillId="10" borderId="0" xfId="0" applyFill="1"/>
  </cellXfs>
  <cellStyles count="4">
    <cellStyle name="Currency" xfId="1" builtinId="4"/>
    <cellStyle name="Heading 3" xfId="3" builtinId="18"/>
    <cellStyle name="Normal" xfId="0" builtinId="0"/>
    <cellStyle name="Percent" xfId="2" builtinId="5"/>
  </cellStyles>
  <dxfs count="47"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6" formatCode="0%;\-0%;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indexed="64"/>
          <bgColor theme="4" tint="-0.249977111117893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9" formatCode="m/d/yyyy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3" formatCode="#,##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0%;\-0%;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border>
        <bottom style="medium">
          <color theme="1" tint="0.499984740745262"/>
        </bottom>
      </border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  <bottom style="medium">
          <color theme="6"/>
        </bottom>
      </border>
    </dxf>
    <dxf>
      <font>
        <b/>
        <color theme="6" tint="-0.249977111117893"/>
      </font>
      <border>
        <bottom style="medium">
          <color theme="6"/>
        </bottom>
      </border>
    </dxf>
    <dxf>
      <font>
        <color theme="1" tint="0.34998626667073579"/>
      </font>
      <border>
        <top/>
        <bottom style="thin">
          <color theme="6"/>
        </bottom>
        <vertical style="thick">
          <color theme="0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LG_discreet" pivot="0" count="7" xr9:uid="{00000000-0011-0000-FFFF-FFFF00000000}">
      <tableStyleElement type="wholeTable" dxfId="46"/>
      <tableStyleElement type="headerRow" dxfId="45"/>
      <tableStyleElement type="totalRow" dxfId="44"/>
      <tableStyleElement type="firstColumn" dxfId="43"/>
      <tableStyleElement type="lastColumn" dxfId="42"/>
      <tableStyleElement type="firstRowStripe" dxfId="41"/>
      <tableStyleElement type="firstColumnStripe" dxfId="40"/>
    </tableStyle>
  </tableStyles>
  <colors>
    <mruColors>
      <color rgb="FFE6834F"/>
      <color rgb="FF9DA85E"/>
      <color rgb="FF2981B9"/>
      <color rgb="FFF1F7ED"/>
      <color rgb="FFFFF9E7"/>
      <color rgb="FFFFFBEF"/>
      <color rgb="FFF4F9F1"/>
      <color rgb="FFF4F3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989541</xdr:colOff>
      <xdr:row>17</xdr:row>
      <xdr:rowOff>123824</xdr:rowOff>
    </xdr:from>
    <xdr:to>
      <xdr:col>8</xdr:col>
      <xdr:colOff>189440</xdr:colOff>
      <xdr:row>19</xdr:row>
      <xdr:rowOff>100540</xdr:rowOff>
    </xdr:to>
    <xdr:pic>
      <xdr:nvPicPr>
        <xdr:cNvPr id="22" name="Graphic 21" descr="Pencil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11874" y="3642783"/>
          <a:ext cx="342899" cy="3153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584200</xdr:colOff>
          <xdr:row>14</xdr:row>
          <xdr:rowOff>158750</xdr:rowOff>
        </xdr:from>
        <xdr:to>
          <xdr:col>9</xdr:col>
          <xdr:colOff>374650</xdr:colOff>
          <xdr:row>16</xdr:row>
          <xdr:rowOff>158750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Add Customer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320675</xdr:colOff>
      <xdr:row>14</xdr:row>
      <xdr:rowOff>44449</xdr:rowOff>
    </xdr:from>
    <xdr:to>
      <xdr:col>8</xdr:col>
      <xdr:colOff>787399</xdr:colOff>
      <xdr:row>17</xdr:row>
      <xdr:rowOff>7056</xdr:rowOff>
    </xdr:to>
    <xdr:pic>
      <xdr:nvPicPr>
        <xdr:cNvPr id="12" name="Graphic 11" descr="Employee Badg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71897" y="3099505"/>
          <a:ext cx="466724" cy="4917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641350</xdr:colOff>
          <xdr:row>18</xdr:row>
          <xdr:rowOff>76200</xdr:rowOff>
        </xdr:from>
        <xdr:to>
          <xdr:col>9</xdr:col>
          <xdr:colOff>361950</xdr:colOff>
          <xdr:row>20</xdr:row>
          <xdr:rowOff>38100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Edit Master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57979</xdr:colOff>
      <xdr:row>0</xdr:row>
      <xdr:rowOff>114300</xdr:rowOff>
    </xdr:from>
    <xdr:to>
      <xdr:col>1</xdr:col>
      <xdr:colOff>610429</xdr:colOff>
      <xdr:row>3</xdr:row>
      <xdr:rowOff>257175</xdr:rowOff>
    </xdr:to>
    <xdr:pic macro="[0]!Create_Invoice">
      <xdr:nvPicPr>
        <xdr:cNvPr id="6" name="Graphic 5" descr="Typewrite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979" y="114300"/>
          <a:ext cx="742950" cy="6572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161925</xdr:rowOff>
    </xdr:from>
    <xdr:ext cx="1496179" cy="3872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7625" y="161925"/>
          <a:ext cx="1496179" cy="3872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Instructions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914400</xdr:colOff>
      <xdr:row>1</xdr:row>
      <xdr:rowOff>78525</xdr:rowOff>
    </xdr:from>
    <xdr:to>
      <xdr:col>4</xdr:col>
      <xdr:colOff>476250</xdr:colOff>
      <xdr:row>2</xdr:row>
      <xdr:rowOff>109538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0" y="249975"/>
          <a:ext cx="2038350" cy="2119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100013</xdr:colOff>
      <xdr:row>3</xdr:row>
      <xdr:rowOff>94443</xdr:rowOff>
    </xdr:from>
    <xdr:to>
      <xdr:col>21</xdr:col>
      <xdr:colOff>308465</xdr:colOff>
      <xdr:row>16</xdr:row>
      <xdr:rowOff>104439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34313" y="637368"/>
          <a:ext cx="7752252" cy="236267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nvoiceTable" displayName="InvoiceTable" ref="B7:AB43" totalsRowShown="0" headerRowDxfId="39" dataDxfId="37" headerRowBorderDxfId="38">
  <autoFilter ref="B7:AB43" xr:uid="{00000000-0009-0000-0100-000002000000}"/>
  <tableColumns count="27">
    <tableColumn id="1" xr3:uid="{00000000-0010-0000-0000-000001000000}" name="Customer" dataDxfId="36"/>
    <tableColumn id="2" xr3:uid="{00000000-0010-0000-0000-000002000000}" name="Company" dataDxfId="35"/>
    <tableColumn id="3" xr3:uid="{00000000-0010-0000-0000-000003000000}" name="Address Line 1" dataDxfId="34"/>
    <tableColumn id="4" xr3:uid="{00000000-0010-0000-0000-000004000000}" name="Address Line 2" dataDxfId="33"/>
    <tableColumn id="5" xr3:uid="{00000000-0010-0000-0000-000005000000}" name="Address Line 3" dataDxfId="32"/>
    <tableColumn id="6" xr3:uid="{00000000-0010-0000-0000-000006000000}" name="UID" dataDxfId="31"/>
    <tableColumn id="22" xr3:uid="{00000000-0010-0000-0000-000016000000}" name="VAT" dataDxfId="30" dataCellStyle="Percent"/>
    <tableColumn id="7" xr3:uid="{00000000-0010-0000-0000-000007000000}" name="Services Line 1" dataDxfId="29"/>
    <tableColumn id="8" xr3:uid="{00000000-0010-0000-0000-000008000000}" name="Date Line 1" dataDxfId="28"/>
    <tableColumn id="9" xr3:uid="{00000000-0010-0000-0000-000009000000}" name="Amount Line 1" dataDxfId="27"/>
    <tableColumn id="10" xr3:uid="{00000000-0010-0000-0000-00000A000000}" name="Services Line 2" dataDxfId="26"/>
    <tableColumn id="11" xr3:uid="{00000000-0010-0000-0000-00000B000000}" name="Date Line 2" dataDxfId="25"/>
    <tableColumn id="12" xr3:uid="{00000000-0010-0000-0000-00000C000000}" name="Amount Line 2" dataDxfId="24"/>
    <tableColumn id="13" xr3:uid="{00000000-0010-0000-0000-00000D000000}" name="Services Line 3" dataDxfId="23"/>
    <tableColumn id="14" xr3:uid="{00000000-0010-0000-0000-00000E000000}" name="Date Line 3" dataDxfId="22"/>
    <tableColumn id="15" xr3:uid="{00000000-0010-0000-0000-00000F000000}" name="Amount Line 3" dataDxfId="21"/>
    <tableColumn id="19" xr3:uid="{00000000-0010-0000-0000-000013000000}" name="Agreed Amount Total" dataDxfId="20">
      <calculatedColumnFormula>InvoiceTable[[#This Row],[Amount Line 1]]+InvoiceTable[[#This Row],[Amount Line 2]]+InvoiceTable[[#This Row],[Amount Line 3]]</calculatedColumnFormula>
    </tableColumn>
    <tableColumn id="20" xr3:uid="{00000000-0010-0000-0000-000014000000}" name="Additional Expenses" dataDxfId="19"/>
    <tableColumn id="21" xr3:uid="{00000000-0010-0000-0000-000015000000}" name="Net Amount" dataDxfId="18">
      <calculatedColumnFormula>InvoiceTable[[#This Row],[Agreed Amount Total]]+InvoiceTable[[#This Row],[Additional Expenses]]</calculatedColumnFormula>
    </tableColumn>
    <tableColumn id="23" xr3:uid="{00000000-0010-0000-0000-000017000000}" name="Final Invoiced Amount" dataDxfId="17">
      <calculatedColumnFormula>InvoiceTable[[#This Row],[Net Amount]]+InvoiceTable[[#This Row],[VAT to Pay]]</calculatedColumnFormula>
    </tableColumn>
    <tableColumn id="24" xr3:uid="{00000000-0010-0000-0000-000018000000}" name="Invoice number" dataDxfId="16"/>
    <tableColumn id="25" xr3:uid="{00000000-0010-0000-0000-000019000000}" name="Invoice Date" dataDxfId="15"/>
    <tableColumn id="26" xr3:uid="{00000000-0010-0000-0000-00001A000000}" name="Due by" dataDxfId="14">
      <calculatedColumnFormula>IF(InvoiceTable[[#This Row],[Invoice Date]]="","",WORKDAY(InvoiceTable[[#This Row],[Invoice Date]],14))</calculatedColumnFormula>
    </tableColumn>
    <tableColumn id="27" xr3:uid="{00000000-0010-0000-0000-00001B000000}" name="Status" dataDxfId="13"/>
    <tableColumn id="28" xr3:uid="{00000000-0010-0000-0000-00001C000000}" name="Date Paid" dataDxfId="12"/>
    <tableColumn id="29" xr3:uid="{00000000-0010-0000-0000-00001D000000}" name="VAT to Pay" dataDxfId="11">
      <calculatedColumnFormula>InvoiceTable[[#This Row],[Net Amount]]*InvoiceTable[[#This Row],[VAT]]</calculatedColumnFormula>
    </tableColumn>
    <tableColumn id="30" xr3:uid="{00000000-0010-0000-0000-00001E000000}" name="Transfer Savings" dataDxfId="10">
      <calculatedColumnFormula>R8*0.5</calculatedColumnFormula>
    </tableColumn>
  </tableColumns>
  <tableStyleInfo name="LG_discreet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ustomerTable" displayName="CustomerTable" ref="A1:H32" totalsRowShown="0" headerRowDxfId="9" dataDxfId="8">
  <autoFilter ref="A1:H32" xr:uid="{00000000-0009-0000-0100-000001000000}"/>
  <tableColumns count="8">
    <tableColumn id="1" xr3:uid="{00000000-0010-0000-0100-000001000000}" name="Customer" dataDxfId="7"/>
    <tableColumn id="2" xr3:uid="{00000000-0010-0000-0100-000002000000}" name="Company" dataDxfId="6"/>
    <tableColumn id="3" xr3:uid="{00000000-0010-0000-0100-000003000000}" name="Address Line 1" dataDxfId="5"/>
    <tableColumn id="4" xr3:uid="{00000000-0010-0000-0100-000004000000}" name="Address Line 2" dataDxfId="4"/>
    <tableColumn id="5" xr3:uid="{00000000-0010-0000-0100-000005000000}" name="Address Line 3" dataDxfId="3"/>
    <tableColumn id="6" xr3:uid="{00000000-0010-0000-0100-000006000000}" name="UID" dataDxfId="2"/>
    <tableColumn id="7" xr3:uid="{00000000-0010-0000-0100-000007000000}" name="VAT" dataDxfId="1" dataCellStyle="Percent"/>
    <tableColumn id="8" xr3:uid="{00000000-0010-0000-0100-000008000000}" name="Emai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Garrett@Rehire.com" TargetMode="External"/><Relationship Id="rId2" Type="http://schemas.openxmlformats.org/officeDocument/2006/relationships/hyperlink" Target="mailto:Crystal.Doyle@Silvrr.com" TargetMode="External"/><Relationship Id="rId1" Type="http://schemas.openxmlformats.org/officeDocument/2006/relationships/hyperlink" Target="mailto:Rmusse@Dasring.com" TargetMode="External"/><Relationship Id="rId6" Type="http://schemas.openxmlformats.org/officeDocument/2006/relationships/table" Target="../tables/table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Phill@Fightrr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sh">
    <tabColor theme="1" tint="0.34998626667073579"/>
  </sheetPr>
  <dimension ref="A1:V57"/>
  <sheetViews>
    <sheetView showGridLines="0" zoomScale="90" zoomScaleNormal="90" workbookViewId="0">
      <selection activeCell="M17" sqref="M17"/>
    </sheetView>
  </sheetViews>
  <sheetFormatPr defaultColWidth="0" defaultRowHeight="14" zeroHeight="1" x14ac:dyDescent="0.3"/>
  <cols>
    <col min="1" max="1" width="1.58203125" customWidth="1"/>
    <col min="2" max="2" width="2.33203125" customWidth="1"/>
    <col min="3" max="3" width="9.75" customWidth="1"/>
    <col min="4" max="4" width="15" customWidth="1"/>
    <col min="5" max="5" width="20.5" customWidth="1"/>
    <col min="6" max="7" width="9" customWidth="1"/>
    <col min="8" max="8" width="15" customWidth="1"/>
    <col min="9" max="9" width="20.5" customWidth="1"/>
    <col min="10" max="11" width="9" customWidth="1"/>
    <col min="12" max="12" width="15" customWidth="1"/>
    <col min="13" max="13" width="20.5" customWidth="1"/>
    <col min="14" max="17" width="9" customWidth="1"/>
    <col min="18" max="22" width="0" hidden="1" customWidth="1"/>
    <col min="23" max="16384" width="9" hidden="1"/>
  </cols>
  <sheetData>
    <row r="1" spans="1:22" x14ac:dyDescent="0.3">
      <c r="A1" s="11"/>
      <c r="B1" s="11"/>
      <c r="C1" s="79">
        <f ca="1">TODAY()</f>
        <v>44446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22" ht="14.25" customHeight="1" x14ac:dyDescent="0.3">
      <c r="A2" s="11"/>
      <c r="B2" s="11"/>
      <c r="C2" s="101">
        <f ca="1">YEAR(C1)</f>
        <v>2021</v>
      </c>
      <c r="D2" s="13"/>
      <c r="E2" s="13"/>
      <c r="F2" s="13"/>
      <c r="G2" s="11"/>
      <c r="H2" s="13"/>
      <c r="I2" s="13"/>
      <c r="J2" s="13"/>
      <c r="K2" s="11"/>
      <c r="L2" s="13"/>
      <c r="M2" s="13"/>
      <c r="N2" s="13"/>
      <c r="O2" s="11"/>
      <c r="P2" s="11"/>
      <c r="Q2" s="11"/>
      <c r="R2" s="11"/>
      <c r="S2" s="11"/>
      <c r="T2" s="11"/>
      <c r="U2" s="11"/>
      <c r="V2" s="11"/>
    </row>
    <row r="3" spans="1:22" ht="17.25" customHeight="1" x14ac:dyDescent="0.3">
      <c r="A3" s="11"/>
      <c r="B3" s="11"/>
      <c r="C3" s="101"/>
      <c r="D3" s="17" t="s">
        <v>207</v>
      </c>
      <c r="E3" s="11"/>
      <c r="F3" s="11"/>
      <c r="G3" s="11"/>
      <c r="H3" s="17" t="s">
        <v>208</v>
      </c>
      <c r="I3" s="11"/>
      <c r="J3" s="11"/>
      <c r="K3" s="11"/>
      <c r="L3" s="17" t="s">
        <v>209</v>
      </c>
      <c r="M3" s="11"/>
      <c r="N3" s="11"/>
      <c r="O3" s="11"/>
      <c r="P3" s="11"/>
      <c r="Q3" s="11"/>
      <c r="R3" s="11"/>
      <c r="S3" s="11"/>
      <c r="T3" s="11"/>
      <c r="U3" s="11"/>
      <c r="V3" s="11"/>
    </row>
    <row r="4" spans="1:22" ht="17.25" customHeight="1" x14ac:dyDescent="0.3">
      <c r="A4" s="11"/>
      <c r="B4" s="11"/>
      <c r="C4" s="16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</row>
    <row r="5" spans="1:22" ht="39" customHeight="1" x14ac:dyDescent="0.3">
      <c r="A5" s="11"/>
      <c r="B5" s="11"/>
      <c r="C5" s="11"/>
      <c r="D5" s="11"/>
      <c r="E5" s="12"/>
      <c r="F5" s="11"/>
      <c r="G5" s="11"/>
      <c r="H5" s="11"/>
      <c r="I5" s="12"/>
      <c r="J5" s="11"/>
      <c r="K5" s="11"/>
      <c r="L5" s="11"/>
      <c r="M5" s="15"/>
      <c r="N5" s="11"/>
      <c r="O5" s="11"/>
      <c r="P5" s="11"/>
      <c r="Q5" s="11"/>
      <c r="R5" s="11"/>
      <c r="S5" s="11"/>
      <c r="T5" s="11"/>
      <c r="U5" s="11"/>
      <c r="V5" s="11"/>
    </row>
    <row r="6" spans="1:22" x14ac:dyDescent="0.3">
      <c r="A6" s="11"/>
      <c r="B6" s="11"/>
      <c r="C6" s="11"/>
      <c r="D6" s="13"/>
      <c r="E6" s="13"/>
      <c r="F6" s="13"/>
      <c r="G6" s="11"/>
      <c r="H6" s="13"/>
      <c r="I6" s="13"/>
      <c r="J6" s="13"/>
      <c r="K6" s="11"/>
      <c r="L6" s="13"/>
      <c r="M6" s="13"/>
      <c r="N6" s="13"/>
      <c r="O6" s="11"/>
      <c r="P6" s="11"/>
      <c r="Q6" s="11"/>
      <c r="R6" s="11"/>
      <c r="S6" s="11"/>
      <c r="T6" s="11"/>
      <c r="U6" s="11"/>
      <c r="V6" s="11"/>
    </row>
    <row r="7" spans="1:22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</row>
    <row r="8" spans="1:22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</row>
    <row r="9" spans="1:22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</row>
    <row r="10" spans="1:22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</row>
    <row r="11" spans="1:22" x14ac:dyDescent="0.3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</row>
    <row r="12" spans="1:22" ht="23.25" customHeight="1" x14ac:dyDescent="0.3">
      <c r="A12" s="11"/>
      <c r="B12" s="11"/>
      <c r="C12" s="11"/>
      <c r="D12" s="14"/>
      <c r="E12" s="14"/>
      <c r="F12" s="14"/>
      <c r="G12" s="11"/>
      <c r="H12" s="32" t="s">
        <v>214</v>
      </c>
      <c r="I12" s="18"/>
      <c r="J12" s="18"/>
      <c r="K12" s="11"/>
      <c r="L12" s="18" t="s">
        <v>300</v>
      </c>
      <c r="M12" s="18"/>
      <c r="N12" s="18"/>
      <c r="O12" s="11"/>
      <c r="P12" s="11"/>
      <c r="Q12" s="11"/>
      <c r="R12" s="11"/>
      <c r="S12" s="11"/>
      <c r="T12" s="11"/>
      <c r="U12" s="11"/>
      <c r="V12" s="11"/>
    </row>
    <row r="13" spans="1:22" ht="19.5" customHeight="1" x14ac:dyDescent="0.3">
      <c r="A13" s="11"/>
      <c r="B13" s="11"/>
      <c r="C13" s="11"/>
      <c r="D13" s="14"/>
      <c r="E13" s="14"/>
      <c r="F13" s="14"/>
      <c r="G13" s="11"/>
      <c r="H13" s="19" t="s">
        <v>298</v>
      </c>
      <c r="I13" s="18"/>
      <c r="J13" s="18"/>
      <c r="K13" s="11"/>
      <c r="L13" s="18"/>
      <c r="M13" s="18"/>
      <c r="N13" s="18"/>
      <c r="O13" s="11"/>
      <c r="P13" s="11"/>
      <c r="Q13" s="11"/>
      <c r="R13" s="11"/>
      <c r="S13" s="11"/>
      <c r="T13" s="11"/>
      <c r="U13" s="11"/>
      <c r="V13" s="11"/>
    </row>
    <row r="14" spans="1:22" x14ac:dyDescent="0.3">
      <c r="A14" s="11"/>
      <c r="B14" s="11"/>
      <c r="C14" s="11"/>
      <c r="D14" s="14"/>
      <c r="E14" s="14"/>
      <c r="F14" s="14"/>
      <c r="G14" s="11"/>
      <c r="H14" s="19" t="s">
        <v>297</v>
      </c>
      <c r="I14" s="18"/>
      <c r="J14" s="18"/>
      <c r="K14" s="11"/>
      <c r="L14" s="18" t="s">
        <v>301</v>
      </c>
      <c r="M14" s="102" t="s">
        <v>302</v>
      </c>
      <c r="N14" s="18"/>
      <c r="O14" s="11"/>
      <c r="P14" s="11"/>
      <c r="Q14" s="11"/>
      <c r="R14" s="11"/>
      <c r="S14" s="11"/>
      <c r="T14" s="11"/>
      <c r="U14" s="11"/>
      <c r="V14" s="11"/>
    </row>
    <row r="15" spans="1:22" x14ac:dyDescent="0.3">
      <c r="A15" s="11"/>
      <c r="B15" s="11"/>
      <c r="C15" s="11"/>
      <c r="D15" s="14"/>
      <c r="E15" s="14"/>
      <c r="F15" s="14"/>
      <c r="G15" s="11"/>
      <c r="H15" s="19"/>
      <c r="I15" s="18"/>
      <c r="J15" s="18"/>
      <c r="K15" s="11"/>
      <c r="L15" s="18"/>
      <c r="M15" s="18"/>
      <c r="N15" s="18"/>
      <c r="O15" s="11"/>
      <c r="P15" s="11"/>
      <c r="Q15" s="11"/>
      <c r="R15" s="11"/>
      <c r="S15" s="11"/>
      <c r="T15" s="11"/>
      <c r="U15" s="11"/>
      <c r="V15" s="11"/>
    </row>
    <row r="16" spans="1:22" x14ac:dyDescent="0.3">
      <c r="A16" s="11"/>
      <c r="B16" s="11"/>
      <c r="C16" s="11"/>
      <c r="D16" s="14"/>
      <c r="E16" s="14"/>
      <c r="F16" s="14"/>
      <c r="G16" s="11"/>
      <c r="H16" s="18"/>
      <c r="I16" s="18"/>
      <c r="J16" s="18"/>
      <c r="K16" s="11"/>
      <c r="L16" s="18"/>
      <c r="M16" s="18"/>
      <c r="N16" s="18"/>
      <c r="O16" s="11"/>
      <c r="P16" s="11"/>
      <c r="Q16" s="11"/>
      <c r="R16" s="11"/>
      <c r="S16" s="11"/>
      <c r="T16" s="11"/>
      <c r="U16" s="11"/>
      <c r="V16" s="11"/>
    </row>
    <row r="17" spans="1:22" x14ac:dyDescent="0.3">
      <c r="A17" s="11"/>
      <c r="B17" s="11"/>
      <c r="C17" s="11"/>
      <c r="D17" s="14"/>
      <c r="E17" s="14"/>
      <c r="F17" s="14"/>
      <c r="G17" s="11"/>
      <c r="H17" s="18"/>
      <c r="I17" s="18"/>
      <c r="J17" s="18"/>
      <c r="K17" s="11"/>
      <c r="L17" s="18" t="s">
        <v>303</v>
      </c>
      <c r="M17" s="102" t="s">
        <v>304</v>
      </c>
      <c r="N17" s="18"/>
      <c r="O17" s="11"/>
      <c r="P17" s="11"/>
      <c r="Q17" s="11"/>
      <c r="R17" s="11"/>
      <c r="S17" s="11"/>
      <c r="T17" s="11"/>
      <c r="U17" s="11"/>
      <c r="V17" s="11"/>
    </row>
    <row r="18" spans="1:22" x14ac:dyDescent="0.3">
      <c r="A18" s="11"/>
      <c r="B18" s="11"/>
      <c r="C18" s="11"/>
      <c r="D18" s="14"/>
      <c r="E18" s="14"/>
      <c r="F18" s="14"/>
      <c r="G18" s="11"/>
      <c r="H18" s="18"/>
      <c r="I18" s="18"/>
      <c r="J18" s="18"/>
      <c r="K18" s="11"/>
      <c r="L18" s="18"/>
      <c r="M18" s="18"/>
      <c r="N18" s="18"/>
      <c r="O18" s="11"/>
      <c r="P18" s="11"/>
      <c r="Q18" s="11"/>
      <c r="R18" s="11"/>
      <c r="S18" s="11"/>
      <c r="T18" s="11"/>
      <c r="U18" s="11"/>
      <c r="V18" s="11"/>
    </row>
    <row r="19" spans="1:22" x14ac:dyDescent="0.3">
      <c r="A19" s="11"/>
      <c r="B19" s="11"/>
      <c r="C19" s="11"/>
      <c r="D19" s="14"/>
      <c r="E19" s="14"/>
      <c r="F19" s="14"/>
      <c r="G19" s="11"/>
      <c r="H19" s="18"/>
      <c r="I19" s="18"/>
      <c r="J19" s="18"/>
      <c r="K19" s="11"/>
      <c r="L19" s="18"/>
      <c r="M19" s="18"/>
      <c r="N19" s="18"/>
      <c r="O19" s="11"/>
      <c r="P19" s="11"/>
      <c r="Q19" s="11"/>
      <c r="R19" s="11"/>
      <c r="S19" s="11"/>
      <c r="T19" s="11"/>
      <c r="U19" s="11"/>
      <c r="V19" s="11"/>
    </row>
    <row r="20" spans="1:22" x14ac:dyDescent="0.3">
      <c r="A20" s="11"/>
      <c r="B20" s="11"/>
      <c r="C20" s="11"/>
      <c r="D20" s="14"/>
      <c r="E20" s="14"/>
      <c r="F20" s="14"/>
      <c r="G20" s="11"/>
      <c r="H20" s="18"/>
      <c r="I20" s="18"/>
      <c r="J20" s="18"/>
      <c r="K20" s="11"/>
      <c r="L20" s="18"/>
      <c r="M20" s="18"/>
      <c r="N20" s="18"/>
      <c r="O20" s="11"/>
      <c r="P20" s="11"/>
      <c r="Q20" s="11"/>
      <c r="R20" s="11"/>
      <c r="S20" s="11"/>
      <c r="T20" s="11"/>
      <c r="U20" s="11"/>
      <c r="V20" s="11"/>
    </row>
    <row r="21" spans="1:22" x14ac:dyDescent="0.3">
      <c r="A21" s="11"/>
      <c r="B21" s="11"/>
      <c r="C21" s="11"/>
      <c r="D21" s="14"/>
      <c r="E21" s="14"/>
      <c r="F21" s="14"/>
      <c r="G21" s="11"/>
      <c r="H21" s="18"/>
      <c r="I21" s="18"/>
      <c r="J21" s="18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</row>
    <row r="22" spans="1:22" x14ac:dyDescent="0.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</row>
    <row r="23" spans="1:22" x14ac:dyDescent="0.3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</row>
    <row r="24" spans="1:22" x14ac:dyDescent="0.3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</row>
    <row r="25" spans="1:22" x14ac:dyDescent="0.3">
      <c r="A25" s="11"/>
      <c r="B25" s="11"/>
      <c r="C25" s="11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1"/>
      <c r="P25" s="11"/>
      <c r="Q25" s="11"/>
      <c r="R25" s="11"/>
      <c r="S25" s="11"/>
      <c r="T25" s="11"/>
      <c r="U25" s="11"/>
      <c r="V25" s="11"/>
    </row>
    <row r="26" spans="1:22" ht="14.25" customHeight="1" x14ac:dyDescent="0.3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</row>
    <row r="27" spans="1:22" ht="22.5" customHeight="1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</row>
    <row r="28" spans="1:22" x14ac:dyDescent="0.3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</row>
    <row r="29" spans="1:22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</row>
    <row r="30" spans="1:22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</row>
    <row r="31" spans="1:22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</row>
    <row r="32" spans="1:22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</row>
    <row r="33" spans="1:22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</row>
    <row r="34" spans="1:22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</row>
    <row r="35" spans="1:22" x14ac:dyDescent="0.3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</row>
    <row r="36" spans="1:22" x14ac:dyDescent="0.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</row>
    <row r="37" spans="1:22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</row>
    <row r="38" spans="1:22" x14ac:dyDescent="0.3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</row>
    <row r="39" spans="1:22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</row>
    <row r="40" spans="1:22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</row>
    <row r="41" spans="1:22" x14ac:dyDescent="0.3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</row>
    <row r="42" spans="1:22" x14ac:dyDescent="0.3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</row>
    <row r="43" spans="1:22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</row>
    <row r="44" spans="1:22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</row>
    <row r="45" spans="1:22" x14ac:dyDescent="0.3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</row>
    <row r="46" spans="1:22" x14ac:dyDescent="0.3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</row>
    <row r="47" spans="1:22" x14ac:dyDescent="0.3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</row>
    <row r="48" spans="1:22" hidden="1" x14ac:dyDescent="0.3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</row>
    <row r="49" spans="1:22" hidden="1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</row>
    <row r="50" spans="1:22" hidden="1" x14ac:dyDescent="0.3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</row>
    <row r="51" spans="1:22" hidden="1" x14ac:dyDescent="0.3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</row>
    <row r="52" spans="1:22" hidden="1" x14ac:dyDescent="0.3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</row>
    <row r="53" spans="1:22" hidden="1" x14ac:dyDescent="0.3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</row>
    <row r="54" spans="1:22" hidden="1" x14ac:dyDescent="0.3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</row>
    <row r="55" spans="1:22" hidden="1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</row>
    <row r="56" spans="1:22" hidden="1" x14ac:dyDescent="0.3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</row>
    <row r="57" spans="1:22" hidden="1" x14ac:dyDescent="0.3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</row>
  </sheetData>
  <mergeCells count="1">
    <mergeCell ref="C2:C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6" r:id="rId4" name="Button 12">
              <controlPr defaultSize="0" print="0" autoFill="0" autoPict="0" macro="[0]!Customer_Master">
                <anchor moveWithCells="1" sizeWithCells="1">
                  <from>
                    <xdr:col>8</xdr:col>
                    <xdr:colOff>584200</xdr:colOff>
                    <xdr:row>14</xdr:row>
                    <xdr:rowOff>158750</xdr:rowOff>
                  </from>
                  <to>
                    <xdr:col>9</xdr:col>
                    <xdr:colOff>374650</xdr:colOff>
                    <xdr:row>16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5" name="Button 13">
              <controlPr defaultSize="0" print="0" autoFill="0" autoPict="0" macro="[0]!View_Master">
                <anchor moveWithCells="1" sizeWithCells="1">
                  <from>
                    <xdr:col>8</xdr:col>
                    <xdr:colOff>641350</xdr:colOff>
                    <xdr:row>18</xdr:row>
                    <xdr:rowOff>76200</xdr:rowOff>
                  </from>
                  <to>
                    <xdr:col>9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Invoice">
    <tabColor rgb="FFE6834F"/>
  </sheetPr>
  <dimension ref="A1:AX269"/>
  <sheetViews>
    <sheetView showGridLines="0" tabSelected="1" workbookViewId="0">
      <pane xSplit="3" topLeftCell="T1" activePane="topRight" state="frozen"/>
      <selection pane="topRight" activeCell="A43" sqref="A43"/>
    </sheetView>
  </sheetViews>
  <sheetFormatPr defaultColWidth="8.83203125" defaultRowHeight="14" outlineLevelCol="1" x14ac:dyDescent="0.3"/>
  <cols>
    <col min="1" max="1" width="2.5" style="44" customWidth="1"/>
    <col min="2" max="2" width="19.25" style="44" customWidth="1"/>
    <col min="3" max="3" width="18.08203125" style="44" customWidth="1"/>
    <col min="4" max="4" width="37.83203125" style="44" customWidth="1" outlineLevel="1"/>
    <col min="5" max="5" width="38.75" style="44" customWidth="1" outlineLevel="1"/>
    <col min="6" max="6" width="16" style="44" customWidth="1" outlineLevel="1"/>
    <col min="7" max="7" width="14.25" style="44" customWidth="1" outlineLevel="1"/>
    <col min="8" max="8" width="9" style="77" customWidth="1" outlineLevel="1"/>
    <col min="9" max="9" width="28" style="44" customWidth="1"/>
    <col min="10" max="10" width="39.5" style="44" customWidth="1"/>
    <col min="11" max="11" width="15.33203125" style="78" customWidth="1"/>
    <col min="12" max="12" width="25" style="44" customWidth="1"/>
    <col min="13" max="13" width="19" style="44" customWidth="1"/>
    <col min="14" max="14" width="15.33203125" style="78" customWidth="1"/>
    <col min="15" max="15" width="16.75" style="44" hidden="1" customWidth="1" outlineLevel="1"/>
    <col min="16" max="16" width="12.33203125" style="44" hidden="1" customWidth="1" outlineLevel="1"/>
    <col min="17" max="17" width="15.33203125" style="78" hidden="1" customWidth="1" outlineLevel="1" collapsed="1"/>
    <col min="18" max="18" width="14.25" style="44" customWidth="1" collapsed="1"/>
    <col min="19" max="19" width="13.33203125" style="44" customWidth="1"/>
    <col min="20" max="20" width="13.25" style="44" customWidth="1"/>
    <col min="21" max="21" width="15.25" style="44" customWidth="1"/>
    <col min="22" max="22" width="12.33203125" style="36" customWidth="1"/>
    <col min="23" max="23" width="16.08203125" style="44" customWidth="1"/>
    <col min="24" max="28" width="12.33203125" style="44" customWidth="1"/>
    <col min="29" max="29" width="4.33203125" style="44" customWidth="1"/>
    <col min="30" max="16384" width="8.83203125" style="44"/>
  </cols>
  <sheetData>
    <row r="1" spans="1:50" x14ac:dyDescent="0.3">
      <c r="A1" s="40"/>
      <c r="B1" s="40"/>
      <c r="C1" s="40"/>
      <c r="D1" s="40"/>
      <c r="E1" s="40"/>
      <c r="F1" s="41"/>
      <c r="G1" s="41"/>
      <c r="H1" s="41"/>
      <c r="I1" s="41"/>
      <c r="J1" s="41"/>
      <c r="K1" s="42"/>
      <c r="L1" s="40"/>
      <c r="M1" s="40"/>
      <c r="N1" s="42"/>
      <c r="O1" s="40"/>
      <c r="P1" s="40"/>
      <c r="Q1" s="42"/>
      <c r="R1" s="40"/>
      <c r="S1" s="40"/>
      <c r="T1" s="40"/>
      <c r="U1" s="43"/>
      <c r="V1" s="40"/>
      <c r="W1" s="40"/>
      <c r="X1" s="40"/>
      <c r="Y1" s="40"/>
      <c r="Z1" s="40"/>
      <c r="AA1" s="40"/>
      <c r="AB1" s="40"/>
      <c r="AC1" s="40"/>
      <c r="AD1" s="40"/>
    </row>
    <row r="2" spans="1:50" x14ac:dyDescent="0.3">
      <c r="A2" s="40"/>
      <c r="B2" s="40"/>
      <c r="C2" s="40"/>
      <c r="D2" s="41"/>
      <c r="E2" s="41"/>
      <c r="F2" s="41"/>
      <c r="G2" s="41"/>
      <c r="H2" s="41"/>
      <c r="I2" s="41"/>
      <c r="J2" s="41"/>
      <c r="K2" s="42"/>
      <c r="L2" s="40"/>
      <c r="M2" s="40"/>
      <c r="N2" s="42"/>
      <c r="O2" s="40"/>
      <c r="P2" s="40"/>
      <c r="Q2" s="42"/>
      <c r="R2" s="40"/>
      <c r="S2" s="40"/>
      <c r="T2" s="40"/>
      <c r="U2" s="43"/>
      <c r="V2" s="40"/>
      <c r="W2" s="40"/>
      <c r="X2" s="40"/>
      <c r="Y2" s="40"/>
      <c r="Z2" s="40"/>
      <c r="AA2" s="40"/>
      <c r="AB2" s="40"/>
      <c r="AC2" s="40"/>
      <c r="AD2" s="40"/>
    </row>
    <row r="3" spans="1:50" x14ac:dyDescent="0.3">
      <c r="A3" s="40"/>
      <c r="B3" s="40"/>
      <c r="C3" s="40"/>
      <c r="D3" s="41"/>
      <c r="E3" s="41"/>
      <c r="F3" s="41"/>
      <c r="G3" s="41"/>
      <c r="H3" s="41"/>
      <c r="I3" s="41"/>
      <c r="J3" s="41"/>
      <c r="K3" s="42"/>
      <c r="L3" s="40"/>
      <c r="M3" s="40"/>
      <c r="N3" s="42"/>
      <c r="O3" s="40"/>
      <c r="P3" s="40"/>
      <c r="Q3" s="42"/>
      <c r="R3" s="40"/>
      <c r="S3" s="40"/>
      <c r="T3" s="40"/>
      <c r="U3" s="43"/>
      <c r="V3" s="40"/>
      <c r="W3" s="40"/>
      <c r="X3" s="40"/>
      <c r="Y3" s="40"/>
      <c r="Z3" s="40"/>
      <c r="AA3" s="40"/>
      <c r="AB3" s="40"/>
      <c r="AC3" s="40"/>
      <c r="AD3" s="40"/>
    </row>
    <row r="4" spans="1:50" s="47" customFormat="1" ht="34.5" customHeight="1" x14ac:dyDescent="0.3">
      <c r="A4" s="41"/>
      <c r="B4" s="41"/>
      <c r="C4" s="41"/>
      <c r="D4" s="41"/>
      <c r="E4" s="41"/>
      <c r="F4" s="41"/>
      <c r="G4" s="41"/>
      <c r="H4" s="41"/>
      <c r="I4" s="41"/>
      <c r="J4" s="41"/>
      <c r="K4" s="45"/>
      <c r="L4" s="41"/>
      <c r="M4" s="41"/>
      <c r="N4" s="45"/>
      <c r="O4" s="41"/>
      <c r="P4" s="41"/>
      <c r="Q4" s="45"/>
      <c r="R4" s="41"/>
      <c r="S4" s="41"/>
      <c r="T4" s="41"/>
      <c r="U4" s="46"/>
      <c r="V4" s="41"/>
      <c r="W4" s="41"/>
      <c r="X4" s="41"/>
      <c r="Y4" s="41"/>
      <c r="Z4" s="41"/>
      <c r="AA4" s="41"/>
      <c r="AB4" s="41"/>
      <c r="AC4" s="41"/>
      <c r="AD4" s="41"/>
    </row>
    <row r="5" spans="1:50" s="48" customFormat="1" ht="21" customHeight="1" x14ac:dyDescent="0.3">
      <c r="K5" s="49"/>
      <c r="N5" s="49"/>
      <c r="Q5" s="49"/>
      <c r="U5" s="37"/>
    </row>
    <row r="6" spans="1:50" s="48" customFormat="1" ht="18" customHeight="1" x14ac:dyDescent="0.3">
      <c r="K6" s="49"/>
      <c r="N6" s="49"/>
      <c r="Q6" s="49"/>
      <c r="U6" s="37"/>
    </row>
    <row r="7" spans="1:50" s="50" customFormat="1" ht="28.5" thickBot="1" x14ac:dyDescent="0.35">
      <c r="B7" s="51" t="s">
        <v>0</v>
      </c>
      <c r="C7" s="51" t="s">
        <v>2</v>
      </c>
      <c r="D7" s="52" t="s">
        <v>6</v>
      </c>
      <c r="E7" s="52" t="s">
        <v>7</v>
      </c>
      <c r="F7" s="52" t="s">
        <v>8</v>
      </c>
      <c r="G7" s="52" t="s">
        <v>3</v>
      </c>
      <c r="H7" s="53" t="s">
        <v>98</v>
      </c>
      <c r="I7" s="51" t="s">
        <v>141</v>
      </c>
      <c r="J7" s="51" t="s">
        <v>153</v>
      </c>
      <c r="K7" s="54" t="s">
        <v>154</v>
      </c>
      <c r="L7" s="51" t="s">
        <v>142</v>
      </c>
      <c r="M7" s="51" t="s">
        <v>155</v>
      </c>
      <c r="N7" s="54" t="s">
        <v>156</v>
      </c>
      <c r="O7" s="51" t="s">
        <v>143</v>
      </c>
      <c r="P7" s="51" t="s">
        <v>157</v>
      </c>
      <c r="Q7" s="54" t="s">
        <v>158</v>
      </c>
      <c r="R7" s="51" t="s">
        <v>146</v>
      </c>
      <c r="S7" s="51" t="s">
        <v>4</v>
      </c>
      <c r="T7" s="51" t="s">
        <v>5</v>
      </c>
      <c r="U7" s="54" t="s">
        <v>144</v>
      </c>
      <c r="V7" s="51" t="s">
        <v>1</v>
      </c>
      <c r="W7" s="51" t="s">
        <v>145</v>
      </c>
      <c r="X7" s="51" t="s">
        <v>147</v>
      </c>
      <c r="Y7" s="51" t="s">
        <v>152</v>
      </c>
      <c r="Z7" s="51" t="s">
        <v>149</v>
      </c>
      <c r="AA7" s="51" t="s">
        <v>150</v>
      </c>
      <c r="AB7" s="51" t="s">
        <v>151</v>
      </c>
    </row>
    <row r="8" spans="1:50" x14ac:dyDescent="0.3">
      <c r="B8" s="55" t="s">
        <v>67</v>
      </c>
      <c r="C8" s="47" t="s">
        <v>83</v>
      </c>
      <c r="D8" s="56" t="s">
        <v>60</v>
      </c>
      <c r="E8" s="56" t="s">
        <v>61</v>
      </c>
      <c r="F8" s="56" t="s">
        <v>57</v>
      </c>
      <c r="G8" s="56" t="s">
        <v>115</v>
      </c>
      <c r="H8" s="95">
        <v>0.2</v>
      </c>
      <c r="I8" s="34" t="s">
        <v>231</v>
      </c>
      <c r="J8" s="35" t="s">
        <v>215</v>
      </c>
      <c r="K8" s="36">
        <v>3500</v>
      </c>
      <c r="L8" s="34"/>
      <c r="M8" s="34"/>
      <c r="N8" s="36"/>
      <c r="O8" s="34"/>
      <c r="P8" s="34"/>
      <c r="Q8" s="36"/>
      <c r="R8" s="10">
        <f>InvoiceTable[[#This Row],[Amount Line 1]]+InvoiceTable[[#This Row],[Amount Line 2]]+InvoiceTable[[#This Row],[Amount Line 3]]</f>
        <v>3500</v>
      </c>
      <c r="S8" s="58">
        <v>281.8</v>
      </c>
      <c r="T8" s="57">
        <f>InvoiceTable[[#This Row],[Agreed Amount Total]]+InvoiceTable[[#This Row],[Additional Expenses]]</f>
        <v>3781.8</v>
      </c>
      <c r="U8" s="57">
        <f>InvoiceTable[[#This Row],[Net Amount]]+InvoiceTable[[#This Row],[VAT to Pay]]</f>
        <v>4538.16</v>
      </c>
      <c r="V8" s="93">
        <v>15040</v>
      </c>
      <c r="W8" s="59">
        <v>42804</v>
      </c>
      <c r="X8" s="60">
        <f>IF(InvoiceTable[[#This Row],[Invoice Date]]="","",WORKDAY(InvoiceTable[[#This Row],[Invoice Date]],14))</f>
        <v>42824</v>
      </c>
      <c r="Y8" s="34" t="s">
        <v>148</v>
      </c>
      <c r="Z8" s="61">
        <v>42819</v>
      </c>
      <c r="AA8" s="57">
        <f>InvoiceTable[[#This Row],[Net Amount]]*InvoiceTable[[#This Row],[VAT]]</f>
        <v>756.36000000000013</v>
      </c>
      <c r="AB8" s="57">
        <f t="shared" ref="AB8:AB12" si="0">R8*0.5</f>
        <v>1750</v>
      </c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</row>
    <row r="9" spans="1:50" x14ac:dyDescent="0.3">
      <c r="B9" s="44" t="s">
        <v>46</v>
      </c>
      <c r="C9" s="62" t="s">
        <v>13</v>
      </c>
      <c r="D9" s="56" t="s">
        <v>34</v>
      </c>
      <c r="E9" s="56" t="s">
        <v>33</v>
      </c>
      <c r="F9" s="56" t="s">
        <v>32</v>
      </c>
      <c r="G9" s="56"/>
      <c r="H9" s="95">
        <v>0</v>
      </c>
      <c r="I9" s="34" t="s">
        <v>232</v>
      </c>
      <c r="J9" s="35" t="s">
        <v>216</v>
      </c>
      <c r="K9" s="36">
        <v>3500</v>
      </c>
      <c r="L9" s="34"/>
      <c r="M9" s="34"/>
      <c r="N9" s="36"/>
      <c r="O9" s="34"/>
      <c r="P9" s="34"/>
      <c r="Q9" s="36"/>
      <c r="R9" s="10">
        <f>InvoiceTable[[#This Row],[Amount Line 1]]+InvoiceTable[[#This Row],[Amount Line 2]]+InvoiceTable[[#This Row],[Amount Line 3]]</f>
        <v>3500</v>
      </c>
      <c r="S9" s="58">
        <v>261.25</v>
      </c>
      <c r="T9" s="57">
        <f>InvoiceTable[[#This Row],[Agreed Amount Total]]+InvoiceTable[[#This Row],[Additional Expenses]]</f>
        <v>3761.25</v>
      </c>
      <c r="U9" s="57">
        <f>InvoiceTable[[#This Row],[Net Amount]]+InvoiceTable[[#This Row],[VAT to Pay]]</f>
        <v>3761.25</v>
      </c>
      <c r="V9" s="93">
        <v>15041</v>
      </c>
      <c r="W9" s="59">
        <v>42804</v>
      </c>
      <c r="X9" s="60">
        <f>IF(InvoiceTable[[#This Row],[Invoice Date]]="","",WORKDAY(InvoiceTable[[#This Row],[Invoice Date]],14))</f>
        <v>42824</v>
      </c>
      <c r="Y9" s="34" t="s">
        <v>148</v>
      </c>
      <c r="Z9" s="61">
        <v>42819</v>
      </c>
      <c r="AA9" s="57">
        <f>InvoiceTable[[#This Row],[Net Amount]]*InvoiceTable[[#This Row],[VAT]]</f>
        <v>0</v>
      </c>
      <c r="AB9" s="57">
        <f t="shared" si="0"/>
        <v>1750</v>
      </c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</row>
    <row r="10" spans="1:50" x14ac:dyDescent="0.3">
      <c r="B10" s="44" t="s">
        <v>44</v>
      </c>
      <c r="C10" s="62" t="s">
        <v>10</v>
      </c>
      <c r="D10" s="56" t="s">
        <v>25</v>
      </c>
      <c r="E10" s="56" t="s">
        <v>26</v>
      </c>
      <c r="F10" s="56" t="s">
        <v>27</v>
      </c>
      <c r="G10" s="56"/>
      <c r="H10" s="96">
        <v>0</v>
      </c>
      <c r="I10" s="34" t="s">
        <v>234</v>
      </c>
      <c r="J10" s="35" t="s">
        <v>217</v>
      </c>
      <c r="K10" s="36">
        <v>840</v>
      </c>
      <c r="L10" s="34"/>
      <c r="M10" s="34"/>
      <c r="N10" s="36"/>
      <c r="O10" s="34"/>
      <c r="P10" s="34"/>
      <c r="Q10" s="36"/>
      <c r="R10" s="10">
        <f>InvoiceTable[[#This Row],[Amount Line 1]]+InvoiceTable[[#This Row],[Amount Line 2]]+InvoiceTable[[#This Row],[Amount Line 3]]</f>
        <v>840</v>
      </c>
      <c r="S10" s="58">
        <v>0</v>
      </c>
      <c r="T10" s="57">
        <v>43090</v>
      </c>
      <c r="U10" s="57">
        <f>InvoiceTable[[#This Row],[Net Amount]]+InvoiceTable[[#This Row],[VAT to Pay]]</f>
        <v>43090</v>
      </c>
      <c r="V10" s="93">
        <v>15042</v>
      </c>
      <c r="W10" s="59">
        <v>42817</v>
      </c>
      <c r="X10" s="60">
        <f>IF(InvoiceTable[[#This Row],[Invoice Date]]="","",WORKDAY(InvoiceTable[[#This Row],[Invoice Date]],14))</f>
        <v>42837</v>
      </c>
      <c r="Y10" s="34" t="s">
        <v>148</v>
      </c>
      <c r="Z10" s="61">
        <v>42833</v>
      </c>
      <c r="AA10" s="57">
        <f>InvoiceTable[[#This Row],[Net Amount]]*InvoiceTable[[#This Row],[VAT]]</f>
        <v>0</v>
      </c>
      <c r="AB10" s="57">
        <f t="shared" si="0"/>
        <v>420</v>
      </c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</row>
    <row r="11" spans="1:50" x14ac:dyDescent="0.3">
      <c r="B11" s="44" t="s">
        <v>63</v>
      </c>
      <c r="C11" s="47" t="s">
        <v>80</v>
      </c>
      <c r="D11" s="56" t="s">
        <v>60</v>
      </c>
      <c r="E11" s="56" t="s">
        <v>61</v>
      </c>
      <c r="F11" s="56" t="s">
        <v>57</v>
      </c>
      <c r="G11" s="56" t="s">
        <v>111</v>
      </c>
      <c r="H11" s="95">
        <v>0.2</v>
      </c>
      <c r="I11" s="34" t="s">
        <v>235</v>
      </c>
      <c r="J11" s="35" t="s">
        <v>218</v>
      </c>
      <c r="K11" s="36">
        <v>4500</v>
      </c>
      <c r="L11" s="34"/>
      <c r="M11" s="34"/>
      <c r="N11" s="36"/>
      <c r="O11" s="34"/>
      <c r="P11" s="34"/>
      <c r="Q11" s="36"/>
      <c r="R11" s="10">
        <f>InvoiceTable[[#This Row],[Amount Line 1]]+InvoiceTable[[#This Row],[Amount Line 2]]+InvoiceTable[[#This Row],[Amount Line 3]]</f>
        <v>4500</v>
      </c>
      <c r="S11" s="58">
        <v>0</v>
      </c>
      <c r="T11" s="57">
        <f>InvoiceTable[[#This Row],[Agreed Amount Total]]+InvoiceTable[[#This Row],[Additional Expenses]]</f>
        <v>4500</v>
      </c>
      <c r="U11" s="57">
        <f>InvoiceTable[[#This Row],[Net Amount]]+InvoiceTable[[#This Row],[VAT to Pay]]</f>
        <v>5400</v>
      </c>
      <c r="V11" s="93">
        <v>15043</v>
      </c>
      <c r="W11" s="59">
        <v>42817</v>
      </c>
      <c r="X11" s="60">
        <f>IF(InvoiceTable[[#This Row],[Invoice Date]]="","",WORKDAY(InvoiceTable[[#This Row],[Invoice Date]],14))</f>
        <v>42837</v>
      </c>
      <c r="Y11" s="34" t="s">
        <v>148</v>
      </c>
      <c r="Z11" s="61">
        <v>42833</v>
      </c>
      <c r="AA11" s="57">
        <f>InvoiceTable[[#This Row],[Net Amount]]*InvoiceTable[[#This Row],[VAT]]</f>
        <v>900</v>
      </c>
      <c r="AB11" s="57">
        <f t="shared" si="0"/>
        <v>2250</v>
      </c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</row>
    <row r="12" spans="1:50" x14ac:dyDescent="0.3">
      <c r="B12" s="44" t="s">
        <v>65</v>
      </c>
      <c r="C12" s="47" t="s">
        <v>82</v>
      </c>
      <c r="D12" s="56" t="s">
        <v>60</v>
      </c>
      <c r="E12" s="56" t="s">
        <v>61</v>
      </c>
      <c r="F12" s="56" t="s">
        <v>57</v>
      </c>
      <c r="G12" s="56" t="s">
        <v>108</v>
      </c>
      <c r="H12" s="95">
        <v>0.2</v>
      </c>
      <c r="I12" s="34" t="s">
        <v>236</v>
      </c>
      <c r="J12" s="35" t="s">
        <v>219</v>
      </c>
      <c r="K12" s="36">
        <v>2100</v>
      </c>
      <c r="L12" s="34"/>
      <c r="M12" s="34"/>
      <c r="N12" s="36"/>
      <c r="O12" s="34"/>
      <c r="P12" s="34"/>
      <c r="Q12" s="36"/>
      <c r="R12" s="10">
        <f>InvoiceTable[[#This Row],[Amount Line 1]]+InvoiceTable[[#This Row],[Amount Line 2]]+InvoiceTable[[#This Row],[Amount Line 3]]</f>
        <v>2100</v>
      </c>
      <c r="S12" s="58">
        <v>0</v>
      </c>
      <c r="T12" s="57">
        <f>InvoiceTable[[#This Row],[Agreed Amount Total]]+InvoiceTable[[#This Row],[Additional Expenses]]</f>
        <v>2100</v>
      </c>
      <c r="U12" s="57">
        <f>InvoiceTable[[#This Row],[Net Amount]]+InvoiceTable[[#This Row],[VAT to Pay]]</f>
        <v>2520</v>
      </c>
      <c r="V12" s="93">
        <v>15044</v>
      </c>
      <c r="W12" s="59">
        <v>42817</v>
      </c>
      <c r="X12" s="60">
        <f>IF(InvoiceTable[[#This Row],[Invoice Date]]="","",WORKDAY(InvoiceTable[[#This Row],[Invoice Date]],14))</f>
        <v>42837</v>
      </c>
      <c r="Y12" s="34" t="s">
        <v>148</v>
      </c>
      <c r="Z12" s="61">
        <v>42845</v>
      </c>
      <c r="AA12" s="57">
        <f>InvoiceTable[[#This Row],[Net Amount]]*InvoiceTable[[#This Row],[VAT]]</f>
        <v>420</v>
      </c>
      <c r="AB12" s="57">
        <f t="shared" si="0"/>
        <v>1050</v>
      </c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</row>
    <row r="13" spans="1:50" x14ac:dyDescent="0.3">
      <c r="B13" s="44" t="s">
        <v>122</v>
      </c>
      <c r="C13" s="62" t="s">
        <v>12</v>
      </c>
      <c r="D13" s="56" t="s">
        <v>31</v>
      </c>
      <c r="E13" s="56" t="s">
        <v>33</v>
      </c>
      <c r="F13" s="56" t="s">
        <v>32</v>
      </c>
      <c r="G13" s="56"/>
      <c r="H13" s="95">
        <v>0</v>
      </c>
      <c r="I13" s="34" t="s">
        <v>237</v>
      </c>
      <c r="J13" s="35" t="s">
        <v>220</v>
      </c>
      <c r="K13" s="36">
        <v>3750</v>
      </c>
      <c r="L13" s="34"/>
      <c r="M13" s="34"/>
      <c r="N13" s="36"/>
      <c r="O13" s="34"/>
      <c r="P13" s="34"/>
      <c r="Q13" s="36"/>
      <c r="R13" s="10">
        <f>InvoiceTable[[#This Row],[Amount Line 1]]+InvoiceTable[[#This Row],[Amount Line 2]]+InvoiceTable[[#This Row],[Amount Line 3]]</f>
        <v>3750</v>
      </c>
      <c r="S13" s="58">
        <v>0</v>
      </c>
      <c r="T13" s="57">
        <f>InvoiceTable[[#This Row],[Agreed Amount Total]]+InvoiceTable[[#This Row],[Additional Expenses]]</f>
        <v>3750</v>
      </c>
      <c r="U13" s="57">
        <f>InvoiceTable[[#This Row],[Net Amount]]+InvoiceTable[[#This Row],[VAT to Pay]]</f>
        <v>3750</v>
      </c>
      <c r="V13" s="93">
        <v>15045</v>
      </c>
      <c r="W13" s="59">
        <v>42826</v>
      </c>
      <c r="X13" s="60">
        <f>IF(InvoiceTable[[#This Row],[Invoice Date]]="","",WORKDAY(InvoiceTable[[#This Row],[Invoice Date]],14))</f>
        <v>42845</v>
      </c>
      <c r="Y13" s="34" t="s">
        <v>148</v>
      </c>
      <c r="Z13" s="61">
        <v>42845</v>
      </c>
      <c r="AA13" s="57">
        <f>InvoiceTable[[#This Row],[Net Amount]]*InvoiceTable[[#This Row],[VAT]]</f>
        <v>0</v>
      </c>
      <c r="AB13" s="57">
        <f t="shared" ref="AB13" si="1">R13*0.5</f>
        <v>1875</v>
      </c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</row>
    <row r="14" spans="1:50" x14ac:dyDescent="0.3">
      <c r="B14" s="63" t="s">
        <v>160</v>
      </c>
      <c r="C14" s="64" t="s">
        <v>87</v>
      </c>
      <c r="D14" s="65" t="s">
        <v>22</v>
      </c>
      <c r="E14" s="65" t="s">
        <v>23</v>
      </c>
      <c r="F14" s="65" t="s">
        <v>24</v>
      </c>
      <c r="G14" s="65"/>
      <c r="H14" s="97">
        <v>0</v>
      </c>
      <c r="I14" s="34" t="s">
        <v>238</v>
      </c>
      <c r="J14" s="35" t="s">
        <v>221</v>
      </c>
      <c r="K14" s="36">
        <v>5500</v>
      </c>
      <c r="L14" s="34"/>
      <c r="M14" s="34"/>
      <c r="N14" s="36"/>
      <c r="O14" s="34"/>
      <c r="P14" s="34"/>
      <c r="Q14" s="36"/>
      <c r="R14" s="10">
        <f>InvoiceTable[[#This Row],[Amount Line 1]]+InvoiceTable[[#This Row],[Amount Line 2]]+InvoiceTable[[#This Row],[Amount Line 3]]</f>
        <v>5500</v>
      </c>
      <c r="S14" s="58">
        <v>5189.0677075471694</v>
      </c>
      <c r="T14" s="57">
        <f>InvoiceTable[[#This Row],[Agreed Amount Total]]+InvoiceTable[[#This Row],[Additional Expenses]]</f>
        <v>10689.067707547169</v>
      </c>
      <c r="U14" s="57">
        <f>InvoiceTable[[#This Row],[Net Amount]]+InvoiceTable[[#This Row],[VAT to Pay]]</f>
        <v>10689.067707547169</v>
      </c>
      <c r="V14" s="93">
        <v>15046</v>
      </c>
      <c r="W14" s="59">
        <v>42838</v>
      </c>
      <c r="X14" s="60">
        <f>IF(InvoiceTable[[#This Row],[Invoice Date]]="","",WORKDAY(InvoiceTable[[#This Row],[Invoice Date]],14))</f>
        <v>42858</v>
      </c>
      <c r="Y14" s="34" t="s">
        <v>148</v>
      </c>
      <c r="Z14" s="61">
        <v>42845</v>
      </c>
      <c r="AA14" s="57">
        <f>InvoiceTable[[#This Row],[Net Amount]]*InvoiceTable[[#This Row],[VAT]]</f>
        <v>0</v>
      </c>
      <c r="AB14" s="57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</row>
    <row r="15" spans="1:50" x14ac:dyDescent="0.3">
      <c r="B15" s="63" t="s">
        <v>124</v>
      </c>
      <c r="C15" s="64" t="s">
        <v>18</v>
      </c>
      <c r="D15" s="65" t="s">
        <v>91</v>
      </c>
      <c r="E15" s="65" t="s">
        <v>92</v>
      </c>
      <c r="F15" s="65" t="s">
        <v>99</v>
      </c>
      <c r="G15" s="65" t="s">
        <v>120</v>
      </c>
      <c r="H15" s="97">
        <v>0.2</v>
      </c>
      <c r="I15" s="34" t="s">
        <v>233</v>
      </c>
      <c r="J15" s="35" t="s">
        <v>222</v>
      </c>
      <c r="K15" s="36">
        <v>2000</v>
      </c>
      <c r="L15" s="34"/>
      <c r="M15" s="34"/>
      <c r="N15" s="36"/>
      <c r="O15" s="34"/>
      <c r="P15" s="34"/>
      <c r="Q15" s="36"/>
      <c r="R15" s="10">
        <f>InvoiceTable[[#This Row],[Amount Line 1]]+InvoiceTable[[#This Row],[Amount Line 2]]+InvoiceTable[[#This Row],[Amount Line 3]]</f>
        <v>2000</v>
      </c>
      <c r="S15" s="58">
        <v>738.21</v>
      </c>
      <c r="T15" s="57">
        <f>InvoiceTable[[#This Row],[Agreed Amount Total]]+InvoiceTable[[#This Row],[Additional Expenses]]</f>
        <v>2738.21</v>
      </c>
      <c r="U15" s="57">
        <f>InvoiceTable[[#This Row],[Net Amount]]+InvoiceTable[[#This Row],[VAT to Pay]]</f>
        <v>3285.8519999999999</v>
      </c>
      <c r="V15" s="93">
        <v>15047</v>
      </c>
      <c r="W15" s="59">
        <v>42838</v>
      </c>
      <c r="X15" s="60">
        <f>IF(InvoiceTable[[#This Row],[Invoice Date]]="","",WORKDAY(InvoiceTable[[#This Row],[Invoice Date]],14))</f>
        <v>42858</v>
      </c>
      <c r="Y15" s="34" t="s">
        <v>148</v>
      </c>
      <c r="Z15" s="61">
        <v>42848</v>
      </c>
      <c r="AA15" s="57">
        <f>InvoiceTable[[#This Row],[Net Amount]]*InvoiceTable[[#This Row],[VAT]]</f>
        <v>547.64200000000005</v>
      </c>
      <c r="AB15" s="57">
        <f t="shared" ref="AB15:AB22" si="2">R15*0.5</f>
        <v>1000</v>
      </c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</row>
    <row r="16" spans="1:50" x14ac:dyDescent="0.3">
      <c r="B16" s="66" t="s">
        <v>122</v>
      </c>
      <c r="C16" s="67" t="s">
        <v>12</v>
      </c>
      <c r="D16" s="65" t="s">
        <v>31</v>
      </c>
      <c r="E16" s="65" t="s">
        <v>33</v>
      </c>
      <c r="F16" s="65" t="s">
        <v>32</v>
      </c>
      <c r="G16" s="65"/>
      <c r="H16" s="97">
        <v>0</v>
      </c>
      <c r="I16" s="34" t="s">
        <v>239</v>
      </c>
      <c r="J16" s="35">
        <v>42469</v>
      </c>
      <c r="K16" s="36">
        <v>840</v>
      </c>
      <c r="L16" s="34"/>
      <c r="M16" s="34"/>
      <c r="N16" s="36"/>
      <c r="O16" s="34"/>
      <c r="P16" s="34"/>
      <c r="Q16" s="36"/>
      <c r="R16" s="10">
        <f>InvoiceTable[[#This Row],[Amount Line 1]]+InvoiceTable[[#This Row],[Amount Line 2]]+InvoiceTable[[#This Row],[Amount Line 3]]</f>
        <v>840</v>
      </c>
      <c r="S16" s="58">
        <v>0</v>
      </c>
      <c r="T16" s="57">
        <f>InvoiceTable[[#This Row],[Agreed Amount Total]]+InvoiceTable[[#This Row],[Additional Expenses]]</f>
        <v>840</v>
      </c>
      <c r="U16" s="57">
        <f>InvoiceTable[[#This Row],[Net Amount]]+InvoiceTable[[#This Row],[VAT to Pay]]</f>
        <v>840</v>
      </c>
      <c r="V16" s="93">
        <v>15048</v>
      </c>
      <c r="W16" s="59">
        <v>42852</v>
      </c>
      <c r="X16" s="60">
        <f>IF(InvoiceTable[[#This Row],[Invoice Date]]="","",WORKDAY(InvoiceTable[[#This Row],[Invoice Date]],14))</f>
        <v>42872</v>
      </c>
      <c r="Y16" s="34" t="s">
        <v>148</v>
      </c>
      <c r="Z16" s="61">
        <v>42863</v>
      </c>
      <c r="AA16" s="57">
        <f>InvoiceTable[[#This Row],[Net Amount]]*InvoiceTable[[#This Row],[VAT]]</f>
        <v>0</v>
      </c>
      <c r="AB16" s="57">
        <f t="shared" si="2"/>
        <v>420</v>
      </c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</row>
    <row r="17" spans="1:50" x14ac:dyDescent="0.3">
      <c r="B17" s="34" t="s">
        <v>44</v>
      </c>
      <c r="C17" s="34" t="s">
        <v>10</v>
      </c>
      <c r="D17" s="68" t="s">
        <v>25</v>
      </c>
      <c r="E17" s="68" t="s">
        <v>26</v>
      </c>
      <c r="F17" s="68" t="s">
        <v>27</v>
      </c>
      <c r="G17" s="68"/>
      <c r="H17" s="96">
        <v>0</v>
      </c>
      <c r="I17" s="34" t="s">
        <v>240</v>
      </c>
      <c r="J17" s="35" t="s">
        <v>223</v>
      </c>
      <c r="K17" s="36">
        <v>1680</v>
      </c>
      <c r="L17" s="34"/>
      <c r="M17" s="34"/>
      <c r="N17" s="36"/>
      <c r="O17" s="34"/>
      <c r="P17" s="34"/>
      <c r="Q17" s="36"/>
      <c r="R17" s="10">
        <f>InvoiceTable[[#This Row],[Amount Line 1]]+InvoiceTable[[#This Row],[Amount Line 2]]+InvoiceTable[[#This Row],[Amount Line 3]]</f>
        <v>1680</v>
      </c>
      <c r="S17" s="58">
        <v>0</v>
      </c>
      <c r="T17" s="57">
        <f>InvoiceTable[[#This Row],[Agreed Amount Total]]+InvoiceTable[[#This Row],[Additional Expenses]]</f>
        <v>1680</v>
      </c>
      <c r="U17" s="57">
        <f>InvoiceTable[[#This Row],[Net Amount]]+InvoiceTable[[#This Row],[VAT to Pay]]</f>
        <v>1680</v>
      </c>
      <c r="V17" s="93">
        <v>15049</v>
      </c>
      <c r="W17" s="59">
        <v>42852</v>
      </c>
      <c r="X17" s="60">
        <f>IF(InvoiceTable[[#This Row],[Invoice Date]]="","",WORKDAY(InvoiceTable[[#This Row],[Invoice Date]],14))</f>
        <v>42872</v>
      </c>
      <c r="Y17" s="34" t="s">
        <v>148</v>
      </c>
      <c r="Z17" s="61">
        <v>42866</v>
      </c>
      <c r="AA17" s="57">
        <f>InvoiceTable[[#This Row],[Net Amount]]*InvoiceTable[[#This Row],[VAT]]</f>
        <v>0</v>
      </c>
      <c r="AB17" s="57">
        <f t="shared" si="2"/>
        <v>840</v>
      </c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</row>
    <row r="18" spans="1:50" s="55" customFormat="1" x14ac:dyDescent="0.3">
      <c r="A18" s="48"/>
      <c r="B18" s="34" t="s">
        <v>46</v>
      </c>
      <c r="C18" s="34" t="s">
        <v>13</v>
      </c>
      <c r="D18" s="68" t="s">
        <v>34</v>
      </c>
      <c r="E18" s="68" t="s">
        <v>33</v>
      </c>
      <c r="F18" s="68" t="s">
        <v>32</v>
      </c>
      <c r="G18" s="68"/>
      <c r="H18" s="96">
        <v>0</v>
      </c>
      <c r="I18" s="34" t="s">
        <v>241</v>
      </c>
      <c r="J18" s="35" t="s">
        <v>224</v>
      </c>
      <c r="K18" s="37">
        <v>1680</v>
      </c>
      <c r="L18" s="38"/>
      <c r="M18" s="38"/>
      <c r="N18" s="37"/>
      <c r="O18" s="38"/>
      <c r="P18" s="38"/>
      <c r="Q18" s="37"/>
      <c r="R18" s="10">
        <f>InvoiceTable[[#This Row],[Amount Line 1]]+InvoiceTable[[#This Row],[Amount Line 2]]+InvoiceTable[[#This Row],[Amount Line 3]]</f>
        <v>1680</v>
      </c>
      <c r="S18" s="69">
        <v>0</v>
      </c>
      <c r="T18" s="57">
        <f>InvoiceTable[[#This Row],[Agreed Amount Total]]+InvoiceTable[[#This Row],[Additional Expenses]]</f>
        <v>1680</v>
      </c>
      <c r="U18" s="57">
        <f>InvoiceTable[[#This Row],[Net Amount]]+InvoiceTable[[#This Row],[VAT to Pay]]</f>
        <v>1680</v>
      </c>
      <c r="V18" s="93">
        <v>15050</v>
      </c>
      <c r="W18" s="70">
        <v>42859</v>
      </c>
      <c r="X18" s="71">
        <f>IF(InvoiceTable[[#This Row],[Invoice Date]]="","",WORKDAY(InvoiceTable[[#This Row],[Invoice Date]],14))</f>
        <v>42879</v>
      </c>
      <c r="Y18" s="34" t="s">
        <v>148</v>
      </c>
      <c r="Z18" s="72">
        <v>42870</v>
      </c>
      <c r="AA18" s="73">
        <f>InvoiceTable[[#This Row],[Net Amount]]*InvoiceTable[[#This Row],[VAT]]</f>
        <v>0</v>
      </c>
      <c r="AB18" s="73">
        <f t="shared" si="2"/>
        <v>840</v>
      </c>
      <c r="AC18" s="48"/>
      <c r="AD18" s="48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</row>
    <row r="19" spans="1:50" s="55" customFormat="1" x14ac:dyDescent="0.3">
      <c r="A19" s="48"/>
      <c r="B19" s="63" t="s">
        <v>122</v>
      </c>
      <c r="C19" s="64" t="s">
        <v>12</v>
      </c>
      <c r="D19" s="65" t="s">
        <v>31</v>
      </c>
      <c r="E19" s="65" t="s">
        <v>33</v>
      </c>
      <c r="F19" s="65" t="s">
        <v>32</v>
      </c>
      <c r="G19" s="65"/>
      <c r="H19" s="97">
        <v>0</v>
      </c>
      <c r="I19" s="34" t="s">
        <v>242</v>
      </c>
      <c r="J19" s="35">
        <v>42503</v>
      </c>
      <c r="K19" s="37">
        <v>1680</v>
      </c>
      <c r="L19" s="38"/>
      <c r="M19" s="38"/>
      <c r="N19" s="37"/>
      <c r="O19" s="38"/>
      <c r="P19" s="38"/>
      <c r="Q19" s="37"/>
      <c r="R19" s="10">
        <f>InvoiceTable[[#This Row],[Amount Line 1]]+InvoiceTable[[#This Row],[Amount Line 2]]+InvoiceTable[[#This Row],[Amount Line 3]]</f>
        <v>1680</v>
      </c>
      <c r="S19" s="69">
        <v>0</v>
      </c>
      <c r="T19" s="57">
        <f>InvoiceTable[[#This Row],[Agreed Amount Total]]+InvoiceTable[[#This Row],[Additional Expenses]]</f>
        <v>1680</v>
      </c>
      <c r="U19" s="57">
        <f>InvoiceTable[[#This Row],[Net Amount]]+InvoiceTable[[#This Row],[VAT to Pay]]</f>
        <v>1680</v>
      </c>
      <c r="V19" s="93">
        <v>15051</v>
      </c>
      <c r="W19" s="70">
        <v>42875</v>
      </c>
      <c r="X19" s="71">
        <f>IF(InvoiceTable[[#This Row],[Invoice Date]]="","",WORKDAY(InvoiceTable[[#This Row],[Invoice Date]],14))</f>
        <v>42894</v>
      </c>
      <c r="Y19" s="34" t="s">
        <v>148</v>
      </c>
      <c r="Z19" s="72">
        <v>42895</v>
      </c>
      <c r="AA19" s="73">
        <f>InvoiceTable[[#This Row],[Net Amount]]*InvoiceTable[[#This Row],[VAT]]</f>
        <v>0</v>
      </c>
      <c r="AB19" s="73">
        <f>R19*0.5</f>
        <v>840</v>
      </c>
      <c r="AC19" s="48"/>
      <c r="AD19" s="48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</row>
    <row r="20" spans="1:50" s="55" customFormat="1" x14ac:dyDescent="0.3">
      <c r="A20" s="48"/>
      <c r="B20" s="63" t="s">
        <v>121</v>
      </c>
      <c r="C20" s="64" t="s">
        <v>15</v>
      </c>
      <c r="D20" s="65" t="s">
        <v>36</v>
      </c>
      <c r="E20" s="65" t="s">
        <v>37</v>
      </c>
      <c r="F20" s="65" t="s">
        <v>38</v>
      </c>
      <c r="G20" s="65"/>
      <c r="H20" s="97">
        <v>0</v>
      </c>
      <c r="I20" s="34" t="s">
        <v>243</v>
      </c>
      <c r="J20" s="35" t="s">
        <v>225</v>
      </c>
      <c r="K20" s="37">
        <v>4000</v>
      </c>
      <c r="L20" s="38"/>
      <c r="M20" s="38"/>
      <c r="N20" s="37"/>
      <c r="O20" s="38"/>
      <c r="P20" s="38"/>
      <c r="Q20" s="37"/>
      <c r="R20" s="10">
        <f>InvoiceTable[[#This Row],[Amount Line 1]]+InvoiceTable[[#This Row],[Amount Line 2]]+InvoiceTable[[#This Row],[Amount Line 3]]</f>
        <v>4000</v>
      </c>
      <c r="S20" s="69">
        <v>0</v>
      </c>
      <c r="T20" s="57">
        <f>InvoiceTable[[#This Row],[Agreed Amount Total]]+InvoiceTable[[#This Row],[Additional Expenses]]</f>
        <v>4000</v>
      </c>
      <c r="U20" s="57">
        <f>InvoiceTable[[#This Row],[Net Amount]]+InvoiceTable[[#This Row],[VAT to Pay]]</f>
        <v>4000</v>
      </c>
      <c r="V20" s="93">
        <v>15052</v>
      </c>
      <c r="W20" s="70">
        <v>42887</v>
      </c>
      <c r="X20" s="71">
        <f>IF(InvoiceTable[[#This Row],[Invoice Date]]="","",WORKDAY(InvoiceTable[[#This Row],[Invoice Date]],14))</f>
        <v>42907</v>
      </c>
      <c r="Y20" s="34" t="s">
        <v>148</v>
      </c>
      <c r="Z20" s="72">
        <v>42908</v>
      </c>
      <c r="AA20" s="73">
        <f>InvoiceTable[[#This Row],[Net Amount]]*InvoiceTable[[#This Row],[VAT]]</f>
        <v>0</v>
      </c>
      <c r="AB20" s="73">
        <f>R20*0.5</f>
        <v>2000</v>
      </c>
      <c r="AC20" s="48"/>
      <c r="AD20" s="48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</row>
    <row r="21" spans="1:50" s="55" customFormat="1" x14ac:dyDescent="0.3">
      <c r="A21" s="48"/>
      <c r="B21" s="63" t="s">
        <v>46</v>
      </c>
      <c r="C21" s="64" t="s">
        <v>13</v>
      </c>
      <c r="D21" s="65" t="s">
        <v>34</v>
      </c>
      <c r="E21" s="65" t="s">
        <v>33</v>
      </c>
      <c r="F21" s="65" t="s">
        <v>32</v>
      </c>
      <c r="G21" s="65"/>
      <c r="H21" s="97">
        <v>0</v>
      </c>
      <c r="I21" s="34" t="s">
        <v>244</v>
      </c>
      <c r="J21" s="35" t="s">
        <v>226</v>
      </c>
      <c r="K21" s="37">
        <v>3000</v>
      </c>
      <c r="L21" s="38"/>
      <c r="M21" s="38"/>
      <c r="N21" s="37"/>
      <c r="O21" s="38"/>
      <c r="P21" s="38"/>
      <c r="Q21" s="37"/>
      <c r="R21" s="10">
        <f>InvoiceTable[[#This Row],[Amount Line 1]]+InvoiceTable[[#This Row],[Amount Line 2]]+InvoiceTable[[#This Row],[Amount Line 3]]</f>
        <v>3000</v>
      </c>
      <c r="S21" s="69">
        <v>0</v>
      </c>
      <c r="T21" s="57">
        <f>InvoiceTable[[#This Row],[Agreed Amount Total]]+InvoiceTable[[#This Row],[Additional Expenses]]</f>
        <v>3000</v>
      </c>
      <c r="U21" s="57">
        <f>InvoiceTable[[#This Row],[Net Amount]]+InvoiceTable[[#This Row],[VAT to Pay]]</f>
        <v>3000</v>
      </c>
      <c r="V21" s="93">
        <v>15053</v>
      </c>
      <c r="W21" s="70">
        <v>42908</v>
      </c>
      <c r="X21" s="71">
        <f>IF(InvoiceTable[[#This Row],[Invoice Date]]="","",WORKDAY(InvoiceTable[[#This Row],[Invoice Date]],14))</f>
        <v>42928</v>
      </c>
      <c r="Y21" s="34" t="s">
        <v>148</v>
      </c>
      <c r="Z21" s="72">
        <v>42937</v>
      </c>
      <c r="AA21" s="73">
        <f>InvoiceTable[[#This Row],[Net Amount]]*InvoiceTable[[#This Row],[VAT]]</f>
        <v>0</v>
      </c>
      <c r="AB21" s="73">
        <f>R21*0.5</f>
        <v>1500</v>
      </c>
      <c r="AC21" s="48"/>
      <c r="AD21" s="48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</row>
    <row r="22" spans="1:50" s="55" customFormat="1" x14ac:dyDescent="0.3">
      <c r="A22" s="48"/>
      <c r="B22" s="34" t="s">
        <v>48</v>
      </c>
      <c r="C22" s="34" t="s">
        <v>86</v>
      </c>
      <c r="D22" s="68" t="s">
        <v>39</v>
      </c>
      <c r="E22" s="68" t="s">
        <v>41</v>
      </c>
      <c r="F22" s="68" t="s">
        <v>40</v>
      </c>
      <c r="G22" s="68"/>
      <c r="H22" s="96">
        <v>0</v>
      </c>
      <c r="I22" s="34" t="s">
        <v>245</v>
      </c>
      <c r="J22" s="39">
        <v>42557</v>
      </c>
      <c r="K22" s="37">
        <v>2400</v>
      </c>
      <c r="L22" s="38"/>
      <c r="M22" s="38"/>
      <c r="N22" s="37"/>
      <c r="O22" s="38"/>
      <c r="P22" s="38"/>
      <c r="Q22" s="37"/>
      <c r="R22" s="10">
        <f>InvoiceTable[[#This Row],[Amount Line 1]]+InvoiceTable[[#This Row],[Amount Line 2]]+InvoiceTable[[#This Row],[Amount Line 3]]</f>
        <v>2400</v>
      </c>
      <c r="S22" s="69">
        <v>0</v>
      </c>
      <c r="T22" s="57">
        <f>InvoiceTable[[#This Row],[Agreed Amount Total]]+InvoiceTable[[#This Row],[Additional Expenses]]</f>
        <v>2400</v>
      </c>
      <c r="U22" s="57">
        <f>InvoiceTable[[#This Row],[Net Amount]]+InvoiceTable[[#This Row],[VAT to Pay]]</f>
        <v>2400</v>
      </c>
      <c r="V22" s="93">
        <v>15054</v>
      </c>
      <c r="W22" s="70">
        <v>42950</v>
      </c>
      <c r="X22" s="71">
        <f>IF(InvoiceTable[[#This Row],[Invoice Date]]="","",WORKDAY(InvoiceTable[[#This Row],[Invoice Date]],14))</f>
        <v>42970</v>
      </c>
      <c r="Y22" s="34" t="s">
        <v>148</v>
      </c>
      <c r="Z22" s="72">
        <v>42964</v>
      </c>
      <c r="AA22" s="73">
        <f>InvoiceTable[[#This Row],[Net Amount]]*InvoiceTable[[#This Row],[VAT]]</f>
        <v>0</v>
      </c>
      <c r="AB22" s="73">
        <f t="shared" si="2"/>
        <v>1200</v>
      </c>
      <c r="AC22" s="48"/>
      <c r="AD22" s="48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</row>
    <row r="23" spans="1:50" s="55" customFormat="1" x14ac:dyDescent="0.3">
      <c r="A23" s="48"/>
      <c r="B23" s="63" t="s">
        <v>122</v>
      </c>
      <c r="C23" s="64" t="s">
        <v>12</v>
      </c>
      <c r="D23" s="65" t="s">
        <v>31</v>
      </c>
      <c r="E23" s="65" t="s">
        <v>33</v>
      </c>
      <c r="F23" s="65" t="s">
        <v>32</v>
      </c>
      <c r="G23" s="65"/>
      <c r="H23" s="97">
        <v>0</v>
      </c>
      <c r="I23" s="34" t="s">
        <v>246</v>
      </c>
      <c r="J23" s="39" t="s">
        <v>227</v>
      </c>
      <c r="K23" s="37">
        <v>3060</v>
      </c>
      <c r="L23" s="38"/>
      <c r="M23" s="38"/>
      <c r="N23" s="37"/>
      <c r="O23" s="38"/>
      <c r="P23" s="38"/>
      <c r="Q23" s="37"/>
      <c r="R23" s="10">
        <f>InvoiceTable[[#This Row],[Amount Line 1]]+InvoiceTable[[#This Row],[Amount Line 2]]+InvoiceTable[[#This Row],[Amount Line 3]]</f>
        <v>3060</v>
      </c>
      <c r="S23" s="69">
        <v>0</v>
      </c>
      <c r="T23" s="57">
        <f>InvoiceTable[[#This Row],[Agreed Amount Total]]+InvoiceTable[[#This Row],[Additional Expenses]]</f>
        <v>3060</v>
      </c>
      <c r="U23" s="57">
        <f>InvoiceTable[[#This Row],[Net Amount]]+InvoiceTable[[#This Row],[VAT to Pay]]</f>
        <v>3060</v>
      </c>
      <c r="V23" s="93">
        <v>15055</v>
      </c>
      <c r="W23" s="70">
        <v>42971</v>
      </c>
      <c r="X23" s="71">
        <f>IF(InvoiceTable[[#This Row],[Invoice Date]]="","",WORKDAY(InvoiceTable[[#This Row],[Invoice Date]],14))</f>
        <v>42991</v>
      </c>
      <c r="Y23" s="34" t="s">
        <v>148</v>
      </c>
      <c r="Z23" s="72">
        <v>42999</v>
      </c>
      <c r="AA23" s="73">
        <f>InvoiceTable[[#This Row],[Net Amount]]*InvoiceTable[[#This Row],[VAT]]</f>
        <v>0</v>
      </c>
      <c r="AB23" s="73">
        <f t="shared" ref="AB23:AB25" si="3">R23*0.5</f>
        <v>1530</v>
      </c>
      <c r="AC23" s="48"/>
      <c r="AD23" s="48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</row>
    <row r="24" spans="1:50" s="55" customFormat="1" x14ac:dyDescent="0.3">
      <c r="A24" s="48"/>
      <c r="B24" s="63" t="s">
        <v>122</v>
      </c>
      <c r="C24" s="64" t="s">
        <v>188</v>
      </c>
      <c r="D24" s="65" t="s">
        <v>31</v>
      </c>
      <c r="E24" s="65" t="s">
        <v>33</v>
      </c>
      <c r="F24" s="65" t="s">
        <v>32</v>
      </c>
      <c r="G24" s="65"/>
      <c r="H24" s="97">
        <v>0</v>
      </c>
      <c r="I24" s="34" t="s">
        <v>247</v>
      </c>
      <c r="J24" s="39">
        <v>42608</v>
      </c>
      <c r="K24" s="37">
        <v>1375</v>
      </c>
      <c r="L24" s="38"/>
      <c r="M24" s="38"/>
      <c r="N24" s="37"/>
      <c r="O24" s="38"/>
      <c r="P24" s="38"/>
      <c r="Q24" s="37"/>
      <c r="R24" s="10">
        <f>InvoiceTable[[#This Row],[Amount Line 1]]+InvoiceTable[[#This Row],[Amount Line 2]]+InvoiceTable[[#This Row],[Amount Line 3]]</f>
        <v>1375</v>
      </c>
      <c r="S24" s="69">
        <v>0</v>
      </c>
      <c r="T24" s="57">
        <f>InvoiceTable[[#This Row],[Agreed Amount Total]]+InvoiceTable[[#This Row],[Additional Expenses]]</f>
        <v>1375</v>
      </c>
      <c r="U24" s="57">
        <f>InvoiceTable[[#This Row],[Net Amount]]+InvoiceTable[[#This Row],[VAT to Pay]]</f>
        <v>1375</v>
      </c>
      <c r="V24" s="93">
        <v>15056</v>
      </c>
      <c r="W24" s="70">
        <v>42993</v>
      </c>
      <c r="X24" s="71">
        <f>IF(InvoiceTable[[#This Row],[Invoice Date]]="","",WORKDAY(InvoiceTable[[#This Row],[Invoice Date]],14))</f>
        <v>43013</v>
      </c>
      <c r="Y24" s="34" t="s">
        <v>148</v>
      </c>
      <c r="Z24" s="72">
        <v>43010</v>
      </c>
      <c r="AA24" s="73">
        <f>InvoiceTable[[#This Row],[Net Amount]]*InvoiceTable[[#This Row],[VAT]]</f>
        <v>0</v>
      </c>
      <c r="AB24" s="73">
        <f t="shared" si="3"/>
        <v>687.5</v>
      </c>
      <c r="AC24" s="48"/>
      <c r="AD24" s="48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</row>
    <row r="25" spans="1:50" s="55" customFormat="1" x14ac:dyDescent="0.3">
      <c r="A25" s="48"/>
      <c r="B25" s="63" t="s">
        <v>121</v>
      </c>
      <c r="C25" s="64" t="s">
        <v>15</v>
      </c>
      <c r="D25" s="65" t="s">
        <v>36</v>
      </c>
      <c r="E25" s="65" t="s">
        <v>37</v>
      </c>
      <c r="F25" s="65" t="s">
        <v>38</v>
      </c>
      <c r="G25" s="65"/>
      <c r="H25" s="97">
        <v>0</v>
      </c>
      <c r="I25" s="34" t="s">
        <v>248</v>
      </c>
      <c r="J25" s="39" t="s">
        <v>228</v>
      </c>
      <c r="K25" s="37">
        <v>4000</v>
      </c>
      <c r="L25" s="38"/>
      <c r="M25" s="38"/>
      <c r="N25" s="37"/>
      <c r="O25" s="38"/>
      <c r="P25" s="38"/>
      <c r="Q25" s="37"/>
      <c r="R25" s="10">
        <f>InvoiceTable[[#This Row],[Amount Line 1]]+InvoiceTable[[#This Row],[Amount Line 2]]+InvoiceTable[[#This Row],[Amount Line 3]]</f>
        <v>4000</v>
      </c>
      <c r="S25" s="69">
        <v>0</v>
      </c>
      <c r="T25" s="57">
        <f>InvoiceTable[[#This Row],[Agreed Amount Total]]+InvoiceTable[[#This Row],[Additional Expenses]]</f>
        <v>4000</v>
      </c>
      <c r="U25" s="57">
        <f>InvoiceTable[[#This Row],[Net Amount]]+InvoiceTable[[#This Row],[VAT to Pay]]</f>
        <v>4000</v>
      </c>
      <c r="V25" s="93">
        <v>15057</v>
      </c>
      <c r="W25" s="70">
        <v>43015</v>
      </c>
      <c r="X25" s="71">
        <f>IF(InvoiceTable[[#This Row],[Invoice Date]]="","",WORKDAY(InvoiceTable[[#This Row],[Invoice Date]],14))</f>
        <v>43034</v>
      </c>
      <c r="Y25" s="34" t="s">
        <v>148</v>
      </c>
      <c r="Z25" s="72">
        <v>43035</v>
      </c>
      <c r="AA25" s="73">
        <f>InvoiceTable[[#This Row],[Net Amount]]*InvoiceTable[[#This Row],[VAT]]</f>
        <v>0</v>
      </c>
      <c r="AB25" s="73">
        <f t="shared" si="3"/>
        <v>2000</v>
      </c>
      <c r="AC25" s="48"/>
      <c r="AD25" s="48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</row>
    <row r="26" spans="1:50" x14ac:dyDescent="0.3">
      <c r="B26" s="34" t="s">
        <v>48</v>
      </c>
      <c r="C26" s="34" t="s">
        <v>86</v>
      </c>
      <c r="D26" s="68" t="s">
        <v>39</v>
      </c>
      <c r="E26" s="68" t="s">
        <v>41</v>
      </c>
      <c r="F26" s="68" t="s">
        <v>40</v>
      </c>
      <c r="G26" s="68"/>
      <c r="H26" s="96">
        <v>0</v>
      </c>
      <c r="I26" s="34" t="s">
        <v>249</v>
      </c>
      <c r="J26" s="35" t="s">
        <v>229</v>
      </c>
      <c r="K26" s="36">
        <v>840</v>
      </c>
      <c r="L26" s="34"/>
      <c r="M26" s="34"/>
      <c r="N26" s="36"/>
      <c r="O26" s="34"/>
      <c r="P26" s="34"/>
      <c r="Q26" s="36"/>
      <c r="R26" s="10">
        <f>InvoiceTable[[#This Row],[Amount Line 1]]+InvoiceTable[[#This Row],[Amount Line 2]]+InvoiceTable[[#This Row],[Amount Line 3]]</f>
        <v>840</v>
      </c>
      <c r="S26" s="58">
        <v>0</v>
      </c>
      <c r="T26" s="57">
        <f>InvoiceTable[[#This Row],[Agreed Amount Total]]+InvoiceTable[[#This Row],[Additional Expenses]]</f>
        <v>840</v>
      </c>
      <c r="U26" s="57">
        <f>InvoiceTable[[#This Row],[Net Amount]]+InvoiceTable[[#This Row],[VAT to Pay]]</f>
        <v>840</v>
      </c>
      <c r="V26" s="93">
        <v>15058</v>
      </c>
      <c r="W26" s="59">
        <v>43044</v>
      </c>
      <c r="X26" s="60">
        <f>IF(InvoiceTable[[#This Row],[Invoice Date]]="","",WORKDAY(InvoiceTable[[#This Row],[Invoice Date]],14))</f>
        <v>43062</v>
      </c>
      <c r="Y26" s="34" t="s">
        <v>148</v>
      </c>
      <c r="Z26" s="61">
        <v>43092</v>
      </c>
      <c r="AA26" s="57">
        <f>InvoiceTable[[#This Row],[Net Amount]]*InvoiceTable[[#This Row],[VAT]]</f>
        <v>0</v>
      </c>
      <c r="AB26" s="57">
        <f>R26*0.5</f>
        <v>420</v>
      </c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</row>
    <row r="27" spans="1:50" x14ac:dyDescent="0.3">
      <c r="B27" s="34" t="s">
        <v>122</v>
      </c>
      <c r="C27" s="34" t="s">
        <v>12</v>
      </c>
      <c r="D27" s="68" t="s">
        <v>31</v>
      </c>
      <c r="E27" s="68" t="s">
        <v>33</v>
      </c>
      <c r="F27" s="68" t="s">
        <v>32</v>
      </c>
      <c r="G27" s="68"/>
      <c r="H27" s="96">
        <v>0</v>
      </c>
      <c r="I27" s="34" t="s">
        <v>250</v>
      </c>
      <c r="J27" s="35" t="s">
        <v>230</v>
      </c>
      <c r="K27" s="36">
        <v>3600</v>
      </c>
      <c r="L27" s="34"/>
      <c r="M27" s="34"/>
      <c r="N27" s="36"/>
      <c r="O27" s="34"/>
      <c r="P27" s="34"/>
      <c r="Q27" s="36"/>
      <c r="R27" s="10">
        <f>InvoiceTable[[#This Row],[Amount Line 1]]+InvoiceTable[[#This Row],[Amount Line 2]]+InvoiceTable[[#This Row],[Amount Line 3]]</f>
        <v>3600</v>
      </c>
      <c r="S27" s="58">
        <v>0</v>
      </c>
      <c r="T27" s="57">
        <f>InvoiceTable[[#This Row],[Agreed Amount Total]]+InvoiceTable[[#This Row],[Additional Expenses]]</f>
        <v>3600</v>
      </c>
      <c r="U27" s="57">
        <f>InvoiceTable[[#This Row],[Net Amount]]+InvoiceTable[[#This Row],[VAT to Pay]]</f>
        <v>3600</v>
      </c>
      <c r="V27" s="93">
        <v>15059</v>
      </c>
      <c r="W27" s="59">
        <v>43070</v>
      </c>
      <c r="X27" s="60">
        <f>IF(InvoiceTable[[#This Row],[Invoice Date]]="","",WORKDAY(InvoiceTable[[#This Row],[Invoice Date]],14))</f>
        <v>43090</v>
      </c>
      <c r="Y27" s="34" t="s">
        <v>148</v>
      </c>
      <c r="Z27" s="61">
        <v>43083</v>
      </c>
      <c r="AA27" s="57">
        <f>InvoiceTable[[#This Row],[Net Amount]]*InvoiceTable[[#This Row],[VAT]]</f>
        <v>0</v>
      </c>
      <c r="AB27" s="57">
        <f>R27*0.5</f>
        <v>1800</v>
      </c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</row>
    <row r="28" spans="1:50" x14ac:dyDescent="0.3">
      <c r="B28" s="34" t="s">
        <v>48</v>
      </c>
      <c r="C28" s="34" t="s">
        <v>86</v>
      </c>
      <c r="D28" s="68" t="s">
        <v>39</v>
      </c>
      <c r="E28" s="68" t="s">
        <v>41</v>
      </c>
      <c r="F28" s="68" t="s">
        <v>40</v>
      </c>
      <c r="G28" s="68"/>
      <c r="H28" s="96">
        <v>0</v>
      </c>
      <c r="I28" s="34" t="s">
        <v>251</v>
      </c>
      <c r="J28" s="35">
        <v>42862</v>
      </c>
      <c r="K28" s="36">
        <v>3600</v>
      </c>
      <c r="L28" s="34"/>
      <c r="M28" s="34"/>
      <c r="N28" s="36"/>
      <c r="O28" s="34"/>
      <c r="P28" s="34"/>
      <c r="Q28" s="36"/>
      <c r="R28" s="10">
        <f>InvoiceTable[[#This Row],[Amount Line 1]]+InvoiceTable[[#This Row],[Amount Line 2]]+InvoiceTable[[#This Row],[Amount Line 3]]</f>
        <v>3600</v>
      </c>
      <c r="S28" s="58"/>
      <c r="T28" s="57">
        <f>InvoiceTable[[#This Row],[Agreed Amount Total]]+InvoiceTable[[#This Row],[Additional Expenses]]</f>
        <v>3600</v>
      </c>
      <c r="U28" s="57">
        <f>InvoiceTable[[#This Row],[Net Amount]]+InvoiceTable[[#This Row],[VAT to Pay]]</f>
        <v>3600</v>
      </c>
      <c r="V28" s="93">
        <v>15060</v>
      </c>
      <c r="W28" s="59">
        <v>43102</v>
      </c>
      <c r="X28" s="60">
        <f>IF(InvoiceTable[[#This Row],[Invoice Date]]="","",WORKDAY(InvoiceTable[[#This Row],[Invoice Date]],14))</f>
        <v>43122</v>
      </c>
      <c r="Y28" s="34" t="s">
        <v>148</v>
      </c>
      <c r="Z28" s="61">
        <v>43118</v>
      </c>
      <c r="AA28" s="57">
        <f>InvoiceTable[[#This Row],[Net Amount]]*InvoiceTable[[#This Row],[VAT]]</f>
        <v>0</v>
      </c>
      <c r="AB28" s="57">
        <f>R28*0.5</f>
        <v>1800</v>
      </c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</row>
    <row r="29" spans="1:50" x14ac:dyDescent="0.3">
      <c r="B29" s="63" t="s">
        <v>122</v>
      </c>
      <c r="C29" s="64" t="s">
        <v>12</v>
      </c>
      <c r="D29" s="65" t="s">
        <v>31</v>
      </c>
      <c r="E29" s="65" t="s">
        <v>33</v>
      </c>
      <c r="F29" s="65" t="s">
        <v>32</v>
      </c>
      <c r="G29" s="68"/>
      <c r="H29" s="96">
        <v>0</v>
      </c>
      <c r="I29" s="34" t="s">
        <v>252</v>
      </c>
      <c r="J29" s="35">
        <v>42869</v>
      </c>
      <c r="K29" s="36">
        <v>2700</v>
      </c>
      <c r="L29" s="34"/>
      <c r="M29" s="34"/>
      <c r="N29" s="36"/>
      <c r="O29" s="34"/>
      <c r="P29" s="34"/>
      <c r="Q29" s="36"/>
      <c r="R29" s="10">
        <f>InvoiceTable[[#This Row],[Amount Line 1]]+InvoiceTable[[#This Row],[Amount Line 2]]+InvoiceTable[[#This Row],[Amount Line 3]]</f>
        <v>2700</v>
      </c>
      <c r="S29" s="58"/>
      <c r="T29" s="57">
        <f>InvoiceTable[[#This Row],[Agreed Amount Total]]+InvoiceTable[[#This Row],[Additional Expenses]]</f>
        <v>2700</v>
      </c>
      <c r="U29" s="57">
        <f>InvoiceTable[[#This Row],[Net Amount]]+InvoiceTable[[#This Row],[VAT to Pay]]</f>
        <v>2700</v>
      </c>
      <c r="V29" s="93">
        <v>15061</v>
      </c>
      <c r="W29" s="59">
        <v>43102</v>
      </c>
      <c r="X29" s="60">
        <f>IF(InvoiceTable[[#This Row],[Invoice Date]]="","",WORKDAY(InvoiceTable[[#This Row],[Invoice Date]],14))</f>
        <v>43122</v>
      </c>
      <c r="Y29" s="34" t="s">
        <v>148</v>
      </c>
      <c r="Z29" s="61">
        <v>43113</v>
      </c>
      <c r="AA29" s="57">
        <f>InvoiceTable[[#This Row],[Net Amount]]*InvoiceTable[[#This Row],[VAT]]</f>
        <v>0</v>
      </c>
      <c r="AB29" s="57">
        <f t="shared" ref="AB29:AB38" si="4">R29*0.5</f>
        <v>1350</v>
      </c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</row>
    <row r="30" spans="1:50" x14ac:dyDescent="0.3">
      <c r="B30" s="63" t="s">
        <v>122</v>
      </c>
      <c r="C30" s="64" t="s">
        <v>188</v>
      </c>
      <c r="D30" s="65" t="s">
        <v>31</v>
      </c>
      <c r="E30" s="65" t="s">
        <v>33</v>
      </c>
      <c r="F30" s="65" t="s">
        <v>32</v>
      </c>
      <c r="G30" s="68"/>
      <c r="H30" s="96">
        <v>0</v>
      </c>
      <c r="I30" s="34" t="s">
        <v>252</v>
      </c>
      <c r="J30" s="35">
        <v>42869</v>
      </c>
      <c r="K30" s="36">
        <v>2700</v>
      </c>
      <c r="L30" s="34"/>
      <c r="M30" s="34"/>
      <c r="N30" s="36"/>
      <c r="O30" s="34"/>
      <c r="P30" s="34"/>
      <c r="Q30" s="36"/>
      <c r="R30" s="10">
        <f>InvoiceTable[[#This Row],[Amount Line 1]]+InvoiceTable[[#This Row],[Amount Line 2]]+InvoiceTable[[#This Row],[Amount Line 3]]</f>
        <v>2700</v>
      </c>
      <c r="S30" s="58"/>
      <c r="T30" s="57">
        <f>InvoiceTable[[#This Row],[Agreed Amount Total]]+InvoiceTable[[#This Row],[Additional Expenses]]</f>
        <v>2700</v>
      </c>
      <c r="U30" s="57">
        <f>InvoiceTable[[#This Row],[Net Amount]]+InvoiceTable[[#This Row],[VAT to Pay]]</f>
        <v>2700</v>
      </c>
      <c r="V30" s="93">
        <v>15062</v>
      </c>
      <c r="W30" s="59">
        <v>43105</v>
      </c>
      <c r="X30" s="60">
        <f>IF(InvoiceTable[[#This Row],[Invoice Date]]="","",WORKDAY(InvoiceTable[[#This Row],[Invoice Date]],14))</f>
        <v>43125</v>
      </c>
      <c r="Y30" s="34" t="s">
        <v>148</v>
      </c>
      <c r="Z30" s="61">
        <v>43122</v>
      </c>
      <c r="AA30" s="57">
        <f>InvoiceTable[[#This Row],[Net Amount]]*InvoiceTable[[#This Row],[VAT]]</f>
        <v>0</v>
      </c>
      <c r="AB30" s="57">
        <f t="shared" si="4"/>
        <v>1350</v>
      </c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</row>
    <row r="31" spans="1:50" x14ac:dyDescent="0.3">
      <c r="B31" s="63" t="s">
        <v>121</v>
      </c>
      <c r="C31" s="64" t="s">
        <v>15</v>
      </c>
      <c r="D31" s="65" t="s">
        <v>36</v>
      </c>
      <c r="E31" s="65" t="s">
        <v>37</v>
      </c>
      <c r="F31" s="65" t="s">
        <v>38</v>
      </c>
      <c r="G31" s="68"/>
      <c r="H31" s="96">
        <v>0</v>
      </c>
      <c r="I31" s="34" t="s">
        <v>251</v>
      </c>
      <c r="J31" s="35">
        <v>42880</v>
      </c>
      <c r="K31" s="36">
        <v>1800</v>
      </c>
      <c r="L31" s="34"/>
      <c r="M31" s="34"/>
      <c r="N31" s="36"/>
      <c r="O31" s="34"/>
      <c r="P31" s="34"/>
      <c r="Q31" s="36"/>
      <c r="R31" s="10">
        <f>InvoiceTable[[#This Row],[Amount Line 1]]+InvoiceTable[[#This Row],[Amount Line 2]]+InvoiceTable[[#This Row],[Amount Line 3]]</f>
        <v>1800</v>
      </c>
      <c r="S31" s="58"/>
      <c r="T31" s="57">
        <f>InvoiceTable[[#This Row],[Agreed Amount Total]]+InvoiceTable[[#This Row],[Additional Expenses]]</f>
        <v>1800</v>
      </c>
      <c r="U31" s="57">
        <f>InvoiceTable[[#This Row],[Net Amount]]+InvoiceTable[[#This Row],[VAT to Pay]]</f>
        <v>1800</v>
      </c>
      <c r="V31" s="93">
        <v>15063</v>
      </c>
      <c r="W31" s="59">
        <v>43105</v>
      </c>
      <c r="X31" s="60">
        <f>IF(InvoiceTable[[#This Row],[Invoice Date]]="","",WORKDAY(InvoiceTable[[#This Row],[Invoice Date]],14))</f>
        <v>43125</v>
      </c>
      <c r="Y31" s="34" t="s">
        <v>148</v>
      </c>
      <c r="Z31" s="61">
        <v>43131</v>
      </c>
      <c r="AA31" s="57">
        <f>InvoiceTable[[#This Row],[Net Amount]]*InvoiceTable[[#This Row],[VAT]]</f>
        <v>0</v>
      </c>
      <c r="AB31" s="57">
        <f t="shared" si="4"/>
        <v>900</v>
      </c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</row>
    <row r="32" spans="1:50" x14ac:dyDescent="0.3">
      <c r="B32" s="34" t="s">
        <v>48</v>
      </c>
      <c r="C32" s="34" t="s">
        <v>86</v>
      </c>
      <c r="D32" s="68" t="s">
        <v>39</v>
      </c>
      <c r="E32" s="68" t="s">
        <v>41</v>
      </c>
      <c r="F32" s="68" t="s">
        <v>40</v>
      </c>
      <c r="G32" s="68"/>
      <c r="H32" s="96">
        <v>0</v>
      </c>
      <c r="I32" s="34" t="s">
        <v>251</v>
      </c>
      <c r="J32" s="35">
        <v>42880</v>
      </c>
      <c r="K32" s="36">
        <v>1800</v>
      </c>
      <c r="L32" s="34"/>
      <c r="M32" s="34"/>
      <c r="N32" s="36"/>
      <c r="O32" s="34"/>
      <c r="P32" s="34"/>
      <c r="Q32" s="36"/>
      <c r="R32" s="10">
        <f>InvoiceTable[[#This Row],[Amount Line 1]]+InvoiceTable[[#This Row],[Amount Line 2]]+InvoiceTable[[#This Row],[Amount Line 3]]</f>
        <v>1800</v>
      </c>
      <c r="S32" s="58"/>
      <c r="T32" s="57">
        <f>InvoiceTable[[#This Row],[Agreed Amount Total]]+InvoiceTable[[#This Row],[Additional Expenses]]</f>
        <v>1800</v>
      </c>
      <c r="U32" s="57">
        <f>InvoiceTable[[#This Row],[Net Amount]]+InvoiceTable[[#This Row],[VAT to Pay]]</f>
        <v>1800</v>
      </c>
      <c r="V32" s="93">
        <v>15064</v>
      </c>
      <c r="W32" s="59">
        <v>43112</v>
      </c>
      <c r="X32" s="60">
        <f>IF(InvoiceTable[[#This Row],[Invoice Date]]="","",WORKDAY(InvoiceTable[[#This Row],[Invoice Date]],14))</f>
        <v>43132</v>
      </c>
      <c r="Y32" s="34" t="s">
        <v>148</v>
      </c>
      <c r="Z32" s="61">
        <v>43132</v>
      </c>
      <c r="AA32" s="57">
        <f>InvoiceTable[[#This Row],[Net Amount]]*InvoiceTable[[#This Row],[VAT]]</f>
        <v>0</v>
      </c>
      <c r="AB32" s="57">
        <f t="shared" si="4"/>
        <v>900</v>
      </c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</row>
    <row r="33" spans="2:50" x14ac:dyDescent="0.3">
      <c r="B33" s="44" t="s">
        <v>44</v>
      </c>
      <c r="C33" s="62" t="s">
        <v>10</v>
      </c>
      <c r="D33" s="56" t="s">
        <v>25</v>
      </c>
      <c r="E33" s="56" t="s">
        <v>26</v>
      </c>
      <c r="F33" s="56" t="s">
        <v>27</v>
      </c>
      <c r="G33" s="56"/>
      <c r="H33" s="96">
        <v>0</v>
      </c>
      <c r="I33" s="34" t="s">
        <v>251</v>
      </c>
      <c r="J33" s="35">
        <v>42900</v>
      </c>
      <c r="K33" s="36">
        <v>9900</v>
      </c>
      <c r="L33" s="34"/>
      <c r="M33" s="34"/>
      <c r="N33" s="36"/>
      <c r="O33" s="34"/>
      <c r="P33" s="34"/>
      <c r="Q33" s="36"/>
      <c r="R33" s="10">
        <f>InvoiceTable[[#This Row],[Amount Line 1]]+InvoiceTable[[#This Row],[Amount Line 2]]+InvoiceTable[[#This Row],[Amount Line 3]]</f>
        <v>9900</v>
      </c>
      <c r="S33" s="58"/>
      <c r="T33" s="57">
        <f>InvoiceTable[[#This Row],[Agreed Amount Total]]+InvoiceTable[[#This Row],[Additional Expenses]]</f>
        <v>9900</v>
      </c>
      <c r="U33" s="57">
        <f>InvoiceTable[[#This Row],[Net Amount]]+InvoiceTable[[#This Row],[VAT to Pay]]</f>
        <v>9900</v>
      </c>
      <c r="V33" s="93">
        <v>15065</v>
      </c>
      <c r="W33" s="59">
        <v>43133</v>
      </c>
      <c r="X33" s="60">
        <f>IF(InvoiceTable[[#This Row],[Invoice Date]]="","",WORKDAY(InvoiceTable[[#This Row],[Invoice Date]],14))</f>
        <v>43153</v>
      </c>
      <c r="Y33" s="34" t="s">
        <v>148</v>
      </c>
      <c r="Z33" s="61">
        <v>43151</v>
      </c>
      <c r="AA33" s="57">
        <f>InvoiceTable[[#This Row],[Net Amount]]*InvoiceTable[[#This Row],[VAT]]</f>
        <v>0</v>
      </c>
      <c r="AB33" s="57">
        <f t="shared" si="4"/>
        <v>4950</v>
      </c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</row>
    <row r="34" spans="2:50" x14ac:dyDescent="0.3">
      <c r="B34" s="44" t="s">
        <v>63</v>
      </c>
      <c r="C34" s="47" t="s">
        <v>80</v>
      </c>
      <c r="D34" s="56" t="s">
        <v>60</v>
      </c>
      <c r="E34" s="56" t="s">
        <v>61</v>
      </c>
      <c r="F34" s="56" t="s">
        <v>57</v>
      </c>
      <c r="G34" s="56" t="s">
        <v>111</v>
      </c>
      <c r="H34" s="95">
        <v>0.2</v>
      </c>
      <c r="I34" s="34" t="s">
        <v>251</v>
      </c>
      <c r="J34" s="35">
        <v>42900</v>
      </c>
      <c r="K34" s="36">
        <v>4500</v>
      </c>
      <c r="L34" s="34"/>
      <c r="M34" s="34"/>
      <c r="N34" s="36"/>
      <c r="O34" s="34"/>
      <c r="P34" s="34"/>
      <c r="Q34" s="36"/>
      <c r="R34" s="10">
        <f>InvoiceTable[[#This Row],[Amount Line 1]]+InvoiceTable[[#This Row],[Amount Line 2]]+InvoiceTable[[#This Row],[Amount Line 3]]</f>
        <v>4500</v>
      </c>
      <c r="S34" s="58"/>
      <c r="T34" s="57">
        <f>InvoiceTable[[#This Row],[Agreed Amount Total]]+InvoiceTable[[#This Row],[Additional Expenses]]</f>
        <v>4500</v>
      </c>
      <c r="U34" s="57">
        <f>InvoiceTable[[#This Row],[Net Amount]]+InvoiceTable[[#This Row],[VAT to Pay]]</f>
        <v>5400</v>
      </c>
      <c r="V34" s="93">
        <v>15066</v>
      </c>
      <c r="W34" s="59">
        <v>43133</v>
      </c>
      <c r="X34" s="60">
        <f>IF(InvoiceTable[[#This Row],[Invoice Date]]="","",WORKDAY(InvoiceTable[[#This Row],[Invoice Date]],14))</f>
        <v>43153</v>
      </c>
      <c r="Y34" s="34" t="s">
        <v>148</v>
      </c>
      <c r="Z34" s="61">
        <v>43159</v>
      </c>
      <c r="AA34" s="57">
        <f>InvoiceTable[[#This Row],[Net Amount]]*InvoiceTable[[#This Row],[VAT]]</f>
        <v>900</v>
      </c>
      <c r="AB34" s="57">
        <f t="shared" si="4"/>
        <v>2250</v>
      </c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</row>
    <row r="35" spans="2:50" x14ac:dyDescent="0.3">
      <c r="B35" s="44" t="s">
        <v>65</v>
      </c>
      <c r="C35" s="47" t="s">
        <v>82</v>
      </c>
      <c r="D35" s="56" t="s">
        <v>60</v>
      </c>
      <c r="E35" s="56" t="s">
        <v>61</v>
      </c>
      <c r="F35" s="56" t="s">
        <v>57</v>
      </c>
      <c r="G35" s="56" t="s">
        <v>108</v>
      </c>
      <c r="H35" s="95">
        <v>0.2</v>
      </c>
      <c r="I35" s="34" t="s">
        <v>251</v>
      </c>
      <c r="J35" s="35">
        <v>42900</v>
      </c>
      <c r="K35" s="36">
        <v>1800</v>
      </c>
      <c r="L35" s="34"/>
      <c r="M35" s="34"/>
      <c r="N35" s="36"/>
      <c r="O35" s="34"/>
      <c r="P35" s="34"/>
      <c r="Q35" s="36"/>
      <c r="R35" s="10">
        <f>InvoiceTable[[#This Row],[Amount Line 1]]+InvoiceTable[[#This Row],[Amount Line 2]]+InvoiceTable[[#This Row],[Amount Line 3]]</f>
        <v>1800</v>
      </c>
      <c r="S35" s="58"/>
      <c r="T35" s="57">
        <f>InvoiceTable[[#This Row],[Agreed Amount Total]]+InvoiceTable[[#This Row],[Additional Expenses]]</f>
        <v>1800</v>
      </c>
      <c r="U35" s="57">
        <f>InvoiceTable[[#This Row],[Net Amount]]+InvoiceTable[[#This Row],[VAT to Pay]]</f>
        <v>2160</v>
      </c>
      <c r="V35" s="93">
        <v>15067</v>
      </c>
      <c r="W35" s="59">
        <v>43133</v>
      </c>
      <c r="X35" s="60">
        <f>IF(InvoiceTable[[#This Row],[Invoice Date]]="","",WORKDAY(InvoiceTable[[#This Row],[Invoice Date]],14))</f>
        <v>43153</v>
      </c>
      <c r="Y35" s="34" t="s">
        <v>148</v>
      </c>
      <c r="Z35" s="61">
        <v>43151</v>
      </c>
      <c r="AA35" s="57">
        <f>InvoiceTable[[#This Row],[Net Amount]]*InvoiceTable[[#This Row],[VAT]]</f>
        <v>360</v>
      </c>
      <c r="AB35" s="57">
        <f t="shared" si="4"/>
        <v>900</v>
      </c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</row>
    <row r="36" spans="2:50" x14ac:dyDescent="0.3">
      <c r="B36" s="44" t="s">
        <v>122</v>
      </c>
      <c r="C36" s="62" t="s">
        <v>12</v>
      </c>
      <c r="D36" s="56" t="s">
        <v>31</v>
      </c>
      <c r="E36" s="56" t="s">
        <v>33</v>
      </c>
      <c r="F36" s="56" t="s">
        <v>32</v>
      </c>
      <c r="G36" s="56"/>
      <c r="H36" s="95">
        <v>0</v>
      </c>
      <c r="I36" s="34" t="s">
        <v>253</v>
      </c>
      <c r="J36" s="35">
        <v>42901</v>
      </c>
      <c r="K36" s="36">
        <v>800</v>
      </c>
      <c r="L36" s="34"/>
      <c r="M36" s="34"/>
      <c r="N36" s="36"/>
      <c r="O36" s="34"/>
      <c r="P36" s="34"/>
      <c r="Q36" s="36"/>
      <c r="R36" s="10">
        <f>InvoiceTable[[#This Row],[Amount Line 1]]+InvoiceTable[[#This Row],[Amount Line 2]]+InvoiceTable[[#This Row],[Amount Line 3]]</f>
        <v>800</v>
      </c>
      <c r="S36" s="58"/>
      <c r="T36" s="57">
        <f>InvoiceTable[[#This Row],[Agreed Amount Total]]+InvoiceTable[[#This Row],[Additional Expenses]]</f>
        <v>800</v>
      </c>
      <c r="U36" s="57">
        <f>InvoiceTable[[#This Row],[Net Amount]]+InvoiceTable[[#This Row],[VAT to Pay]]</f>
        <v>800</v>
      </c>
      <c r="V36" s="93">
        <v>15068</v>
      </c>
      <c r="W36" s="59">
        <v>43133</v>
      </c>
      <c r="X36" s="60">
        <f>IF(InvoiceTable[[#This Row],[Invoice Date]]="","",WORKDAY(InvoiceTable[[#This Row],[Invoice Date]],14))</f>
        <v>43153</v>
      </c>
      <c r="Y36" s="34" t="s">
        <v>148</v>
      </c>
      <c r="Z36" s="61">
        <v>43159</v>
      </c>
      <c r="AA36" s="57">
        <f>InvoiceTable[[#This Row],[Net Amount]]*InvoiceTable[[#This Row],[VAT]]</f>
        <v>0</v>
      </c>
      <c r="AB36" s="57">
        <f t="shared" si="4"/>
        <v>400</v>
      </c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</row>
    <row r="37" spans="2:50" x14ac:dyDescent="0.3">
      <c r="B37" s="63" t="s">
        <v>160</v>
      </c>
      <c r="C37" s="64" t="s">
        <v>87</v>
      </c>
      <c r="D37" s="65" t="s">
        <v>22</v>
      </c>
      <c r="E37" s="65" t="s">
        <v>23</v>
      </c>
      <c r="F37" s="65" t="s">
        <v>24</v>
      </c>
      <c r="G37" s="65"/>
      <c r="H37" s="97">
        <v>0</v>
      </c>
      <c r="I37" s="34" t="s">
        <v>253</v>
      </c>
      <c r="J37" s="35">
        <v>42945</v>
      </c>
      <c r="K37" s="36">
        <v>1800</v>
      </c>
      <c r="L37" s="34"/>
      <c r="M37" s="34"/>
      <c r="N37" s="36"/>
      <c r="O37" s="34"/>
      <c r="P37" s="34"/>
      <c r="Q37" s="36"/>
      <c r="R37" s="10">
        <f>InvoiceTable[[#This Row],[Amount Line 1]]+InvoiceTable[[#This Row],[Amount Line 2]]+InvoiceTable[[#This Row],[Amount Line 3]]</f>
        <v>1800</v>
      </c>
      <c r="S37" s="58"/>
      <c r="T37" s="57">
        <f>InvoiceTable[[#This Row],[Agreed Amount Total]]+InvoiceTable[[#This Row],[Additional Expenses]]</f>
        <v>1800</v>
      </c>
      <c r="U37" s="57">
        <f>InvoiceTable[[#This Row],[Net Amount]]+InvoiceTable[[#This Row],[VAT to Pay]]</f>
        <v>1800</v>
      </c>
      <c r="V37" s="93">
        <v>15069</v>
      </c>
      <c r="W37" s="59">
        <v>43147</v>
      </c>
      <c r="X37" s="60">
        <f>IF(InvoiceTable[[#This Row],[Invoice Date]]="","",WORKDAY(InvoiceTable[[#This Row],[Invoice Date]],14))</f>
        <v>43167</v>
      </c>
      <c r="Y37" s="34" t="s">
        <v>148</v>
      </c>
      <c r="Z37" s="61">
        <v>43161</v>
      </c>
      <c r="AA37" s="57">
        <f>InvoiceTable[[#This Row],[Net Amount]]*InvoiceTable[[#This Row],[VAT]]</f>
        <v>0</v>
      </c>
      <c r="AB37" s="57">
        <f t="shared" si="4"/>
        <v>900</v>
      </c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</row>
    <row r="38" spans="2:50" x14ac:dyDescent="0.3">
      <c r="B38" s="63" t="s">
        <v>124</v>
      </c>
      <c r="C38" s="64" t="s">
        <v>18</v>
      </c>
      <c r="D38" s="65" t="s">
        <v>91</v>
      </c>
      <c r="E38" s="65" t="s">
        <v>92</v>
      </c>
      <c r="F38" s="65" t="s">
        <v>99</v>
      </c>
      <c r="G38" s="65" t="s">
        <v>120</v>
      </c>
      <c r="H38" s="97">
        <v>0.2</v>
      </c>
      <c r="I38" s="34" t="s">
        <v>253</v>
      </c>
      <c r="J38" s="35">
        <v>42957</v>
      </c>
      <c r="K38" s="36">
        <v>1800</v>
      </c>
      <c r="L38" s="34"/>
      <c r="M38" s="34"/>
      <c r="N38" s="36"/>
      <c r="O38" s="34"/>
      <c r="P38" s="34"/>
      <c r="Q38" s="36"/>
      <c r="R38" s="10">
        <f>InvoiceTable[[#This Row],[Amount Line 1]]+InvoiceTable[[#This Row],[Amount Line 2]]+InvoiceTable[[#This Row],[Amount Line 3]]</f>
        <v>1800</v>
      </c>
      <c r="S38" s="58"/>
      <c r="T38" s="57">
        <f>InvoiceTable[[#This Row],[Agreed Amount Total]]+InvoiceTable[[#This Row],[Additional Expenses]]</f>
        <v>1800</v>
      </c>
      <c r="U38" s="57">
        <f>InvoiceTable[[#This Row],[Net Amount]]+InvoiceTable[[#This Row],[VAT to Pay]]</f>
        <v>2160</v>
      </c>
      <c r="V38" s="93">
        <v>15070</v>
      </c>
      <c r="W38" s="59">
        <v>43159</v>
      </c>
      <c r="X38" s="60">
        <f>IF(InvoiceTable[[#This Row],[Invoice Date]]="","",WORKDAY(InvoiceTable[[#This Row],[Invoice Date]],14))</f>
        <v>43179</v>
      </c>
      <c r="Y38" s="34" t="s">
        <v>148</v>
      </c>
      <c r="Z38" s="61">
        <v>43176</v>
      </c>
      <c r="AA38" s="57">
        <f>InvoiceTable[[#This Row],[Net Amount]]*InvoiceTable[[#This Row],[VAT]]</f>
        <v>360</v>
      </c>
      <c r="AB38" s="57">
        <f t="shared" si="4"/>
        <v>900</v>
      </c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</row>
    <row r="39" spans="2:50" x14ac:dyDescent="0.3">
      <c r="B39" s="34" t="s">
        <v>65</v>
      </c>
      <c r="C39" s="34" t="s">
        <v>82</v>
      </c>
      <c r="D39" s="68" t="s">
        <v>60</v>
      </c>
      <c r="E39" s="68" t="s">
        <v>61</v>
      </c>
      <c r="F39" s="68" t="s">
        <v>57</v>
      </c>
      <c r="G39" s="68" t="s">
        <v>108</v>
      </c>
      <c r="H39" s="96">
        <v>0.2</v>
      </c>
      <c r="I39" s="34" t="s">
        <v>253</v>
      </c>
      <c r="J39" s="61">
        <v>44440</v>
      </c>
      <c r="K39" s="36"/>
      <c r="L39" s="34"/>
      <c r="M39" s="34"/>
      <c r="N39" s="36"/>
      <c r="O39" s="34"/>
      <c r="P39" s="34"/>
      <c r="Q39" s="36"/>
      <c r="R39" s="10">
        <f>InvoiceTable[[#This Row],[Amount Line 1]]+InvoiceTable[[#This Row],[Amount Line 2]]+InvoiceTable[[#This Row],[Amount Line 3]]</f>
        <v>0</v>
      </c>
      <c r="S39" s="58"/>
      <c r="T39" s="57">
        <f>InvoiceTable[[#This Row],[Agreed Amount Total]]+InvoiceTable[[#This Row],[Additional Expenses]]</f>
        <v>0</v>
      </c>
      <c r="U39" s="57">
        <f>InvoiceTable[[#This Row],[Net Amount]]+InvoiceTable[[#This Row],[VAT to Pay]]</f>
        <v>0</v>
      </c>
      <c r="V39" s="93">
        <v>15072</v>
      </c>
      <c r="W39" s="59">
        <v>44446</v>
      </c>
      <c r="X39" s="60">
        <f>IF(InvoiceTable[[#This Row],[Invoice Date]]="","",WORKDAY(InvoiceTable[[#This Row],[Invoice Date]],14))</f>
        <v>44466</v>
      </c>
      <c r="Y39" s="34" t="s">
        <v>305</v>
      </c>
      <c r="Z39" s="34"/>
      <c r="AA39" s="57">
        <f>InvoiceTable[[#This Row],[Net Amount]]*InvoiceTable[[#This Row],[VAT]]</f>
        <v>0</v>
      </c>
      <c r="AB39" s="57">
        <f>R39*0.5</f>
        <v>0</v>
      </c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</row>
    <row r="40" spans="2:50" x14ac:dyDescent="0.3">
      <c r="B40" s="34" t="s">
        <v>122</v>
      </c>
      <c r="C40" s="34" t="s">
        <v>12</v>
      </c>
      <c r="D40" s="68" t="s">
        <v>31</v>
      </c>
      <c r="E40" s="68" t="s">
        <v>33</v>
      </c>
      <c r="F40" s="68" t="s">
        <v>32</v>
      </c>
      <c r="G40" s="68"/>
      <c r="H40" s="96">
        <v>0</v>
      </c>
      <c r="I40" s="34" t="s">
        <v>253</v>
      </c>
      <c r="J40" s="61">
        <v>44440</v>
      </c>
      <c r="K40" s="36"/>
      <c r="L40" s="34"/>
      <c r="M40" s="34"/>
      <c r="N40" s="36"/>
      <c r="O40" s="34"/>
      <c r="P40" s="34"/>
      <c r="Q40" s="36"/>
      <c r="R40" s="10">
        <f>InvoiceTable[[#This Row],[Amount Line 1]]+InvoiceTable[[#This Row],[Amount Line 2]]+InvoiceTable[[#This Row],[Amount Line 3]]</f>
        <v>0</v>
      </c>
      <c r="S40" s="58"/>
      <c r="T40" s="57">
        <f>InvoiceTable[[#This Row],[Agreed Amount Total]]+InvoiceTable[[#This Row],[Additional Expenses]]</f>
        <v>0</v>
      </c>
      <c r="U40" s="57">
        <f>InvoiceTable[[#This Row],[Net Amount]]+InvoiceTable[[#This Row],[VAT to Pay]]</f>
        <v>0</v>
      </c>
      <c r="V40" s="93">
        <v>15071</v>
      </c>
      <c r="W40" s="59">
        <v>44446</v>
      </c>
      <c r="X40" s="60">
        <f>IF(InvoiceTable[[#This Row],[Invoice Date]]="","",WORKDAY(InvoiceTable[[#This Row],[Invoice Date]],14))</f>
        <v>44466</v>
      </c>
      <c r="Y40" s="34" t="s">
        <v>305</v>
      </c>
      <c r="Z40" s="34"/>
      <c r="AA40" s="57">
        <f>InvoiceTable[[#This Row],[Net Amount]]*InvoiceTable[[#This Row],[VAT]]</f>
        <v>0</v>
      </c>
      <c r="AB40" s="57">
        <f>R40*0.5</f>
        <v>0</v>
      </c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</row>
    <row r="41" spans="2:50" x14ac:dyDescent="0.3">
      <c r="B41" s="34" t="s">
        <v>123</v>
      </c>
      <c r="C41" s="34" t="s">
        <v>88</v>
      </c>
      <c r="D41" s="68" t="s">
        <v>89</v>
      </c>
      <c r="E41" s="68" t="s">
        <v>90</v>
      </c>
      <c r="F41" s="68" t="s">
        <v>99</v>
      </c>
      <c r="G41" s="68" t="s">
        <v>119</v>
      </c>
      <c r="H41" s="96">
        <v>0.19</v>
      </c>
      <c r="I41" s="34"/>
      <c r="J41" s="34"/>
      <c r="K41" s="36"/>
      <c r="L41" s="34"/>
      <c r="M41" s="34"/>
      <c r="N41" s="36"/>
      <c r="O41" s="34"/>
      <c r="P41" s="34"/>
      <c r="Q41" s="36"/>
      <c r="R41" s="10">
        <f>InvoiceTable[[#This Row],[Amount Line 1]]+InvoiceTable[[#This Row],[Amount Line 2]]+InvoiceTable[[#This Row],[Amount Line 3]]</f>
        <v>0</v>
      </c>
      <c r="S41" s="58"/>
      <c r="T41" s="57">
        <f>InvoiceTable[[#This Row],[Agreed Amount Total]]+InvoiceTable[[#This Row],[Additional Expenses]]</f>
        <v>0</v>
      </c>
      <c r="U41" s="57">
        <f>InvoiceTable[[#This Row],[Net Amount]]+InvoiceTable[[#This Row],[VAT to Pay]]</f>
        <v>0</v>
      </c>
      <c r="V41" s="93">
        <v>15073</v>
      </c>
      <c r="W41" s="59">
        <v>44446</v>
      </c>
      <c r="X41" s="60">
        <f>IF(InvoiceTable[[#This Row],[Invoice Date]]="","",WORKDAY(InvoiceTable[[#This Row],[Invoice Date]],14))</f>
        <v>44466</v>
      </c>
      <c r="Y41" s="34" t="s">
        <v>305</v>
      </c>
      <c r="Z41" s="34"/>
      <c r="AA41" s="57">
        <f>InvoiceTable[[#This Row],[Net Amount]]*InvoiceTable[[#This Row],[VAT]]</f>
        <v>0</v>
      </c>
      <c r="AB41" s="57">
        <f>R41*0.5</f>
        <v>0</v>
      </c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</row>
    <row r="42" spans="2:50" x14ac:dyDescent="0.3">
      <c r="B42" s="34" t="s">
        <v>65</v>
      </c>
      <c r="C42" s="34" t="s">
        <v>82</v>
      </c>
      <c r="D42" s="68" t="s">
        <v>60</v>
      </c>
      <c r="E42" s="68" t="s">
        <v>61</v>
      </c>
      <c r="F42" s="68" t="s">
        <v>57</v>
      </c>
      <c r="G42" s="68" t="s">
        <v>108</v>
      </c>
      <c r="H42" s="96">
        <v>0.2</v>
      </c>
      <c r="I42" s="34"/>
      <c r="J42" s="34"/>
      <c r="K42" s="36"/>
      <c r="L42" s="34"/>
      <c r="M42" s="34"/>
      <c r="N42" s="36"/>
      <c r="O42" s="34"/>
      <c r="P42" s="34"/>
      <c r="Q42" s="36"/>
      <c r="R42" s="10">
        <f>InvoiceTable[[#This Row],[Amount Line 1]]+InvoiceTable[[#This Row],[Amount Line 2]]+InvoiceTable[[#This Row],[Amount Line 3]]</f>
        <v>0</v>
      </c>
      <c r="S42" s="58"/>
      <c r="T42" s="57">
        <f>InvoiceTable[[#This Row],[Agreed Amount Total]]+InvoiceTable[[#This Row],[Additional Expenses]]</f>
        <v>0</v>
      </c>
      <c r="U42" s="57">
        <f>InvoiceTable[[#This Row],[Net Amount]]+InvoiceTable[[#This Row],[VAT to Pay]]</f>
        <v>0</v>
      </c>
      <c r="V42" s="93">
        <v>15074</v>
      </c>
      <c r="W42" s="59">
        <v>44446</v>
      </c>
      <c r="X42" s="60">
        <f>IF(InvoiceTable[[#This Row],[Invoice Date]]="","",WORKDAY(InvoiceTable[[#This Row],[Invoice Date]],14))</f>
        <v>44466</v>
      </c>
      <c r="Y42" s="34" t="s">
        <v>305</v>
      </c>
      <c r="Z42" s="34"/>
      <c r="AA42" s="57">
        <f>InvoiceTable[[#This Row],[Net Amount]]*InvoiceTable[[#This Row],[VAT]]</f>
        <v>0</v>
      </c>
      <c r="AB42" s="57">
        <f>R42*0.5</f>
        <v>0</v>
      </c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</row>
    <row r="43" spans="2:50" ht="42" x14ac:dyDescent="0.3">
      <c r="B43" s="34" t="s">
        <v>299</v>
      </c>
      <c r="C43" s="34"/>
      <c r="D43" s="68"/>
      <c r="E43" s="68"/>
      <c r="F43" s="68"/>
      <c r="G43" s="68"/>
      <c r="H43" s="96"/>
      <c r="I43" s="34"/>
      <c r="J43" s="34"/>
      <c r="K43" s="36"/>
      <c r="L43" s="34"/>
      <c r="M43" s="34"/>
      <c r="N43" s="36"/>
      <c r="O43" s="34"/>
      <c r="P43" s="34"/>
      <c r="Q43" s="36"/>
      <c r="R43" s="10">
        <f>InvoiceTable[[#This Row],[Amount Line 1]]+InvoiceTable[[#This Row],[Amount Line 2]]+InvoiceTable[[#This Row],[Amount Line 3]]</f>
        <v>0</v>
      </c>
      <c r="S43" s="58"/>
      <c r="T43" s="57">
        <f>InvoiceTable[[#This Row],[Agreed Amount Total]]+InvoiceTable[[#This Row],[Additional Expenses]]</f>
        <v>0</v>
      </c>
      <c r="U43" s="57">
        <f>InvoiceTable[[#This Row],[Net Amount]]+InvoiceTable[[#This Row],[VAT to Pay]]</f>
        <v>0</v>
      </c>
      <c r="V43" s="93"/>
      <c r="W43" s="75"/>
      <c r="X43" s="60" t="str">
        <f>IF(InvoiceTable[[#This Row],[Invoice Date]]="","",WORKDAY(InvoiceTable[[#This Row],[Invoice Date]],14))</f>
        <v/>
      </c>
      <c r="Y43" s="34"/>
      <c r="Z43" s="34"/>
      <c r="AA43" s="57">
        <f>InvoiceTable[[#This Row],[Net Amount]]*InvoiceTable[[#This Row],[VAT]]</f>
        <v>0</v>
      </c>
      <c r="AB43" s="57">
        <f>R43*0.5</f>
        <v>0</v>
      </c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</row>
    <row r="44" spans="2:50" x14ac:dyDescent="0.3">
      <c r="B44" s="34"/>
      <c r="C44" s="34"/>
      <c r="D44" s="34"/>
      <c r="E44" s="34"/>
      <c r="F44" s="34"/>
      <c r="G44" s="34"/>
      <c r="H44" s="76"/>
      <c r="I44" s="34"/>
      <c r="J44" s="34"/>
      <c r="K44" s="36"/>
      <c r="L44" s="34"/>
      <c r="M44" s="34"/>
      <c r="N44" s="36"/>
      <c r="O44" s="34"/>
      <c r="P44" s="34"/>
      <c r="Q44" s="36"/>
      <c r="R44" s="34"/>
      <c r="S44" s="34"/>
      <c r="T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</row>
    <row r="45" spans="2:50" x14ac:dyDescent="0.3">
      <c r="B45" s="34"/>
      <c r="C45" s="34"/>
      <c r="D45" s="34"/>
      <c r="E45" s="34"/>
      <c r="F45" s="34"/>
      <c r="G45" s="34"/>
      <c r="H45" s="76"/>
      <c r="I45" s="34"/>
      <c r="J45" s="34"/>
      <c r="K45" s="36"/>
      <c r="L45" s="34"/>
      <c r="M45" s="34"/>
      <c r="N45" s="36"/>
      <c r="O45" s="34"/>
      <c r="P45" s="34"/>
      <c r="Q45" s="36"/>
      <c r="R45" s="34"/>
      <c r="S45" s="34"/>
      <c r="T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</row>
    <row r="46" spans="2:50" x14ac:dyDescent="0.3">
      <c r="B46" s="34"/>
      <c r="C46" s="34"/>
      <c r="D46" s="34"/>
      <c r="E46" s="34"/>
      <c r="F46" s="34"/>
      <c r="G46" s="34"/>
      <c r="H46" s="76"/>
      <c r="I46" s="34"/>
      <c r="J46" s="34"/>
      <c r="K46" s="36"/>
      <c r="L46" s="34"/>
      <c r="M46" s="34"/>
      <c r="N46" s="36"/>
      <c r="O46" s="34"/>
      <c r="P46" s="34"/>
      <c r="Q46" s="36"/>
      <c r="R46" s="34"/>
      <c r="S46" s="34"/>
      <c r="T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</row>
    <row r="47" spans="2:50" x14ac:dyDescent="0.3">
      <c r="B47" s="34"/>
      <c r="C47" s="34"/>
      <c r="D47" s="34"/>
      <c r="E47" s="34"/>
      <c r="F47" s="34"/>
      <c r="G47" s="34"/>
      <c r="H47" s="76"/>
      <c r="I47" s="34"/>
      <c r="J47" s="34"/>
      <c r="K47" s="36"/>
      <c r="L47" s="34"/>
      <c r="M47" s="34"/>
      <c r="N47" s="36"/>
      <c r="O47" s="34"/>
      <c r="P47" s="34"/>
      <c r="Q47" s="36"/>
      <c r="R47" s="34"/>
      <c r="S47" s="34"/>
      <c r="T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</row>
    <row r="48" spans="2:50" x14ac:dyDescent="0.3">
      <c r="B48" s="34"/>
      <c r="C48" s="34"/>
      <c r="D48" s="34"/>
      <c r="E48" s="34"/>
      <c r="F48" s="34"/>
      <c r="G48" s="34"/>
      <c r="H48" s="76"/>
      <c r="I48" s="34"/>
      <c r="J48" s="34"/>
      <c r="K48" s="36"/>
      <c r="L48" s="34"/>
      <c r="M48" s="34"/>
      <c r="N48" s="36"/>
      <c r="O48" s="34"/>
      <c r="P48" s="34"/>
      <c r="Q48" s="36"/>
      <c r="R48" s="34"/>
      <c r="S48" s="34"/>
      <c r="T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</row>
    <row r="49" spans="2:50" x14ac:dyDescent="0.3">
      <c r="B49" s="34"/>
      <c r="C49" s="34"/>
      <c r="D49" s="34"/>
      <c r="E49" s="34"/>
      <c r="F49" s="34"/>
      <c r="G49" s="34"/>
      <c r="H49" s="76"/>
      <c r="I49" s="34"/>
      <c r="J49" s="34"/>
      <c r="K49" s="36"/>
      <c r="L49" s="34"/>
      <c r="M49" s="34"/>
      <c r="N49" s="36"/>
      <c r="O49" s="34"/>
      <c r="P49" s="34"/>
      <c r="Q49" s="36"/>
      <c r="R49" s="34"/>
      <c r="S49" s="34"/>
      <c r="T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</row>
    <row r="50" spans="2:50" x14ac:dyDescent="0.3">
      <c r="B50" s="34"/>
      <c r="C50" s="34"/>
      <c r="D50" s="34"/>
      <c r="E50" s="34"/>
      <c r="F50" s="34"/>
      <c r="G50" s="34"/>
      <c r="H50" s="76"/>
      <c r="I50" s="34"/>
      <c r="J50" s="34"/>
      <c r="K50" s="36"/>
      <c r="L50" s="34"/>
      <c r="M50" s="34"/>
      <c r="N50" s="36"/>
      <c r="O50" s="34"/>
      <c r="P50" s="34"/>
      <c r="Q50" s="36"/>
      <c r="R50" s="34"/>
      <c r="S50" s="34"/>
      <c r="T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</row>
    <row r="51" spans="2:50" x14ac:dyDescent="0.3">
      <c r="B51" s="34"/>
      <c r="C51" s="34"/>
      <c r="D51" s="34"/>
      <c r="E51" s="34"/>
      <c r="F51" s="34"/>
      <c r="G51" s="34"/>
      <c r="H51" s="76"/>
      <c r="I51" s="34"/>
      <c r="J51" s="34"/>
      <c r="K51" s="36"/>
      <c r="L51" s="34"/>
      <c r="M51" s="34"/>
      <c r="N51" s="36"/>
      <c r="O51" s="34"/>
      <c r="P51" s="34"/>
      <c r="Q51" s="36"/>
      <c r="R51" s="34"/>
      <c r="S51" s="34"/>
      <c r="T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</row>
    <row r="52" spans="2:50" x14ac:dyDescent="0.3">
      <c r="B52" s="34"/>
      <c r="C52" s="34"/>
      <c r="D52" s="34"/>
      <c r="E52" s="34"/>
      <c r="F52" s="34"/>
      <c r="G52" s="34"/>
      <c r="H52" s="76"/>
      <c r="I52" s="34"/>
      <c r="J52" s="34"/>
      <c r="K52" s="36"/>
      <c r="L52" s="34"/>
      <c r="M52" s="34"/>
      <c r="N52" s="36"/>
      <c r="O52" s="34"/>
      <c r="P52" s="34"/>
      <c r="Q52" s="36"/>
      <c r="R52" s="34"/>
      <c r="S52" s="34"/>
      <c r="T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</row>
    <row r="53" spans="2:50" x14ac:dyDescent="0.3">
      <c r="B53" s="34"/>
      <c r="C53" s="34"/>
      <c r="D53" s="34"/>
      <c r="E53" s="34"/>
      <c r="F53" s="34"/>
      <c r="G53" s="34"/>
      <c r="H53" s="76"/>
      <c r="I53" s="34"/>
      <c r="J53" s="34"/>
      <c r="K53" s="36"/>
      <c r="L53" s="34"/>
      <c r="M53" s="34"/>
      <c r="N53" s="36"/>
      <c r="O53" s="34"/>
      <c r="P53" s="34"/>
      <c r="Q53" s="36"/>
      <c r="R53" s="34"/>
      <c r="S53" s="34"/>
      <c r="T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</row>
    <row r="54" spans="2:50" x14ac:dyDescent="0.3">
      <c r="B54" s="34"/>
      <c r="C54" s="34"/>
      <c r="D54" s="34"/>
      <c r="E54" s="34"/>
      <c r="F54" s="34"/>
      <c r="G54" s="34"/>
      <c r="H54" s="76"/>
      <c r="I54" s="34"/>
      <c r="J54" s="34"/>
      <c r="K54" s="36"/>
      <c r="L54" s="34"/>
      <c r="M54" s="34"/>
      <c r="N54" s="36"/>
      <c r="O54" s="34"/>
      <c r="P54" s="34"/>
      <c r="Q54" s="36"/>
      <c r="R54" s="34"/>
      <c r="S54" s="34"/>
      <c r="T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</row>
    <row r="55" spans="2:50" x14ac:dyDescent="0.3">
      <c r="B55" s="34"/>
      <c r="C55" s="34"/>
      <c r="D55" s="34"/>
      <c r="E55" s="34"/>
      <c r="F55" s="34"/>
      <c r="G55" s="34"/>
      <c r="H55" s="76"/>
      <c r="I55" s="34"/>
      <c r="J55" s="34"/>
      <c r="K55" s="36"/>
      <c r="L55" s="34"/>
      <c r="M55" s="34"/>
      <c r="N55" s="36"/>
      <c r="O55" s="34"/>
      <c r="P55" s="34"/>
      <c r="Q55" s="36"/>
      <c r="R55" s="34"/>
      <c r="S55" s="34"/>
      <c r="T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</row>
    <row r="56" spans="2:50" x14ac:dyDescent="0.3">
      <c r="B56" s="34"/>
      <c r="C56" s="34"/>
      <c r="D56" s="34"/>
      <c r="E56" s="34"/>
      <c r="F56" s="34"/>
      <c r="G56" s="34"/>
      <c r="H56" s="76"/>
      <c r="I56" s="34"/>
      <c r="J56" s="34"/>
      <c r="K56" s="36"/>
      <c r="L56" s="34"/>
      <c r="M56" s="34"/>
      <c r="N56" s="36"/>
      <c r="O56" s="34"/>
      <c r="P56" s="34"/>
      <c r="Q56" s="36"/>
      <c r="R56" s="34"/>
      <c r="S56" s="34"/>
      <c r="T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</row>
    <row r="57" spans="2:50" x14ac:dyDescent="0.3">
      <c r="B57" s="34"/>
      <c r="C57" s="34"/>
      <c r="D57" s="34"/>
      <c r="E57" s="34"/>
      <c r="F57" s="34"/>
      <c r="G57" s="34"/>
      <c r="H57" s="76"/>
      <c r="I57" s="34"/>
      <c r="J57" s="34"/>
      <c r="K57" s="36"/>
      <c r="L57" s="34"/>
      <c r="M57" s="34"/>
      <c r="N57" s="36"/>
      <c r="O57" s="34"/>
      <c r="P57" s="34"/>
      <c r="Q57" s="36"/>
      <c r="R57" s="34"/>
      <c r="S57" s="34"/>
      <c r="T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</row>
    <row r="58" spans="2:50" x14ac:dyDescent="0.3">
      <c r="B58" s="34"/>
      <c r="C58" s="34"/>
      <c r="D58" s="34"/>
      <c r="E58" s="34"/>
      <c r="F58" s="34"/>
      <c r="G58" s="34"/>
      <c r="H58" s="76"/>
      <c r="I58" s="34"/>
      <c r="J58" s="34"/>
      <c r="K58" s="36"/>
      <c r="L58" s="34"/>
      <c r="M58" s="34"/>
      <c r="N58" s="36"/>
      <c r="O58" s="34"/>
      <c r="P58" s="34"/>
      <c r="Q58" s="36"/>
      <c r="R58" s="34"/>
      <c r="S58" s="34"/>
      <c r="T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</row>
    <row r="59" spans="2:50" x14ac:dyDescent="0.3">
      <c r="B59" s="34"/>
      <c r="C59" s="34"/>
      <c r="D59" s="34"/>
      <c r="E59" s="34"/>
      <c r="F59" s="34"/>
      <c r="G59" s="34"/>
      <c r="H59" s="76"/>
      <c r="I59" s="34"/>
      <c r="J59" s="34"/>
      <c r="K59" s="36"/>
      <c r="L59" s="34"/>
      <c r="M59" s="34"/>
      <c r="N59" s="36"/>
      <c r="O59" s="34"/>
      <c r="P59" s="34"/>
      <c r="Q59" s="36"/>
      <c r="R59" s="34"/>
      <c r="S59" s="34"/>
      <c r="T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</row>
    <row r="60" spans="2:50" x14ac:dyDescent="0.3">
      <c r="B60" s="34"/>
      <c r="C60" s="34"/>
      <c r="D60" s="34"/>
      <c r="E60" s="34"/>
      <c r="F60" s="34"/>
      <c r="G60" s="34"/>
      <c r="H60" s="76"/>
      <c r="I60" s="34"/>
      <c r="J60" s="34"/>
      <c r="K60" s="36"/>
      <c r="L60" s="34"/>
      <c r="M60" s="34"/>
      <c r="N60" s="36"/>
      <c r="O60" s="34"/>
      <c r="P60" s="34"/>
      <c r="Q60" s="36"/>
      <c r="R60" s="34"/>
      <c r="S60" s="34"/>
      <c r="T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</row>
    <row r="61" spans="2:50" x14ac:dyDescent="0.3">
      <c r="B61" s="34"/>
      <c r="C61" s="34"/>
      <c r="D61" s="34"/>
      <c r="E61" s="34"/>
      <c r="F61" s="34"/>
      <c r="G61" s="34"/>
      <c r="H61" s="76"/>
      <c r="I61" s="34"/>
      <c r="J61" s="34"/>
      <c r="K61" s="36"/>
      <c r="L61" s="34"/>
      <c r="M61" s="34"/>
      <c r="N61" s="36"/>
      <c r="O61" s="34"/>
      <c r="P61" s="34"/>
      <c r="Q61" s="36"/>
      <c r="R61" s="34"/>
      <c r="S61" s="34"/>
      <c r="T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</row>
    <row r="62" spans="2:50" x14ac:dyDescent="0.3">
      <c r="B62" s="34"/>
      <c r="C62" s="34"/>
      <c r="D62" s="34"/>
      <c r="E62" s="34"/>
      <c r="F62" s="34"/>
      <c r="G62" s="34"/>
      <c r="H62" s="76"/>
      <c r="I62" s="34"/>
      <c r="J62" s="34"/>
      <c r="K62" s="36"/>
      <c r="L62" s="34"/>
      <c r="M62" s="34"/>
      <c r="N62" s="36"/>
      <c r="O62" s="34"/>
      <c r="P62" s="34"/>
      <c r="Q62" s="36"/>
      <c r="R62" s="34"/>
      <c r="S62" s="34"/>
      <c r="T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</row>
    <row r="63" spans="2:50" x14ac:dyDescent="0.3">
      <c r="B63" s="34"/>
      <c r="C63" s="34"/>
      <c r="D63" s="34"/>
      <c r="E63" s="34"/>
      <c r="F63" s="34"/>
      <c r="G63" s="34"/>
      <c r="H63" s="76"/>
      <c r="I63" s="34"/>
      <c r="J63" s="34"/>
      <c r="K63" s="36"/>
      <c r="L63" s="34"/>
      <c r="M63" s="34"/>
      <c r="N63" s="36"/>
      <c r="O63" s="34"/>
      <c r="P63" s="34"/>
      <c r="Q63" s="36"/>
      <c r="R63" s="34"/>
      <c r="S63" s="34"/>
      <c r="T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</row>
    <row r="64" spans="2:50" x14ac:dyDescent="0.3">
      <c r="B64" s="34"/>
      <c r="C64" s="34"/>
      <c r="D64" s="34"/>
      <c r="E64" s="34"/>
      <c r="F64" s="34"/>
      <c r="G64" s="34"/>
      <c r="H64" s="76"/>
      <c r="I64" s="34"/>
      <c r="J64" s="34"/>
      <c r="K64" s="36"/>
      <c r="L64" s="34"/>
      <c r="M64" s="34"/>
      <c r="N64" s="36"/>
      <c r="O64" s="34"/>
      <c r="P64" s="34"/>
      <c r="Q64" s="36"/>
      <c r="R64" s="34"/>
      <c r="S64" s="34"/>
      <c r="T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</row>
    <row r="65" spans="2:50" x14ac:dyDescent="0.3">
      <c r="B65" s="34"/>
      <c r="C65" s="34"/>
      <c r="D65" s="34"/>
      <c r="E65" s="34"/>
      <c r="F65" s="34"/>
      <c r="G65" s="34"/>
      <c r="H65" s="76"/>
      <c r="I65" s="34"/>
      <c r="J65" s="34"/>
      <c r="K65" s="36"/>
      <c r="L65" s="34"/>
      <c r="M65" s="34"/>
      <c r="N65" s="36"/>
      <c r="O65" s="34"/>
      <c r="P65" s="34"/>
      <c r="Q65" s="36"/>
      <c r="R65" s="34"/>
      <c r="S65" s="34"/>
      <c r="T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</row>
    <row r="66" spans="2:50" x14ac:dyDescent="0.3">
      <c r="B66" s="34"/>
      <c r="C66" s="34"/>
      <c r="D66" s="34"/>
      <c r="E66" s="34"/>
      <c r="F66" s="34"/>
      <c r="G66" s="34"/>
      <c r="H66" s="76"/>
      <c r="I66" s="34"/>
      <c r="J66" s="34"/>
      <c r="K66" s="36"/>
      <c r="L66" s="34"/>
      <c r="M66" s="34"/>
      <c r="N66" s="36"/>
      <c r="O66" s="34"/>
      <c r="P66" s="34"/>
      <c r="Q66" s="36"/>
      <c r="R66" s="34"/>
      <c r="S66" s="34"/>
      <c r="T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</row>
    <row r="67" spans="2:50" x14ac:dyDescent="0.3">
      <c r="B67" s="34"/>
      <c r="C67" s="34"/>
      <c r="D67" s="34"/>
      <c r="E67" s="34"/>
      <c r="F67" s="34"/>
      <c r="G67" s="34"/>
      <c r="H67" s="76"/>
      <c r="I67" s="34"/>
      <c r="J67" s="34"/>
      <c r="K67" s="36"/>
      <c r="L67" s="34"/>
      <c r="M67" s="34"/>
      <c r="N67" s="36"/>
      <c r="O67" s="34"/>
      <c r="P67" s="34"/>
      <c r="Q67" s="36"/>
      <c r="R67" s="34"/>
      <c r="S67" s="34"/>
      <c r="T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</row>
    <row r="68" spans="2:50" x14ac:dyDescent="0.3">
      <c r="B68" s="34"/>
      <c r="C68" s="34"/>
      <c r="D68" s="34"/>
      <c r="E68" s="34"/>
      <c r="F68" s="34"/>
      <c r="G68" s="34"/>
      <c r="H68" s="76"/>
      <c r="I68" s="34"/>
      <c r="J68" s="34"/>
      <c r="K68" s="36"/>
      <c r="L68" s="34"/>
      <c r="M68" s="34"/>
      <c r="N68" s="36"/>
      <c r="O68" s="34"/>
      <c r="P68" s="34"/>
      <c r="Q68" s="36"/>
      <c r="R68" s="34"/>
      <c r="S68" s="34"/>
      <c r="T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</row>
    <row r="69" spans="2:50" x14ac:dyDescent="0.3">
      <c r="B69" s="34"/>
      <c r="C69" s="34"/>
      <c r="D69" s="34"/>
      <c r="E69" s="34"/>
      <c r="F69" s="34"/>
      <c r="G69" s="34"/>
      <c r="H69" s="76"/>
      <c r="I69" s="34"/>
      <c r="J69" s="34"/>
      <c r="K69" s="36"/>
      <c r="L69" s="34"/>
      <c r="M69" s="34"/>
      <c r="N69" s="36"/>
      <c r="O69" s="34"/>
      <c r="P69" s="34"/>
      <c r="Q69" s="36"/>
      <c r="R69" s="34"/>
      <c r="S69" s="34"/>
      <c r="T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</row>
    <row r="70" spans="2:50" x14ac:dyDescent="0.3">
      <c r="B70" s="34"/>
      <c r="C70" s="34"/>
      <c r="D70" s="34"/>
      <c r="E70" s="34"/>
      <c r="F70" s="34"/>
      <c r="G70" s="34"/>
      <c r="H70" s="76"/>
      <c r="I70" s="34"/>
      <c r="J70" s="34"/>
      <c r="K70" s="36"/>
      <c r="L70" s="34"/>
      <c r="M70" s="34"/>
      <c r="N70" s="36"/>
      <c r="O70" s="34"/>
      <c r="P70" s="34"/>
      <c r="Q70" s="36"/>
      <c r="R70" s="34"/>
      <c r="S70" s="34"/>
      <c r="T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</row>
    <row r="71" spans="2:50" x14ac:dyDescent="0.3">
      <c r="B71" s="34"/>
      <c r="C71" s="34"/>
      <c r="D71" s="34"/>
      <c r="E71" s="34"/>
      <c r="F71" s="34"/>
      <c r="G71" s="34"/>
      <c r="H71" s="76"/>
      <c r="I71" s="34"/>
      <c r="J71" s="34"/>
      <c r="K71" s="36"/>
      <c r="L71" s="34"/>
      <c r="M71" s="34"/>
      <c r="N71" s="36"/>
      <c r="O71" s="34"/>
      <c r="P71" s="34"/>
      <c r="Q71" s="36"/>
      <c r="R71" s="34"/>
      <c r="S71" s="34"/>
      <c r="T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</row>
    <row r="72" spans="2:50" x14ac:dyDescent="0.3">
      <c r="B72" s="34"/>
      <c r="C72" s="34"/>
      <c r="D72" s="34"/>
      <c r="E72" s="34"/>
      <c r="F72" s="34"/>
      <c r="G72" s="34"/>
      <c r="H72" s="76"/>
      <c r="I72" s="34"/>
      <c r="J72" s="34"/>
      <c r="K72" s="36"/>
      <c r="L72" s="34"/>
      <c r="M72" s="34"/>
      <c r="N72" s="36"/>
      <c r="O72" s="34"/>
      <c r="P72" s="34"/>
      <c r="Q72" s="36"/>
      <c r="R72" s="34"/>
      <c r="S72" s="34"/>
      <c r="T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</row>
    <row r="73" spans="2:50" x14ac:dyDescent="0.3">
      <c r="B73" s="34"/>
      <c r="C73" s="34"/>
      <c r="D73" s="34"/>
      <c r="E73" s="34"/>
      <c r="F73" s="34"/>
      <c r="G73" s="34"/>
      <c r="H73" s="76"/>
      <c r="I73" s="34"/>
      <c r="J73" s="34"/>
      <c r="K73" s="36"/>
      <c r="L73" s="34"/>
      <c r="M73" s="34"/>
      <c r="N73" s="36"/>
      <c r="O73" s="34"/>
      <c r="P73" s="34"/>
      <c r="Q73" s="36"/>
      <c r="R73" s="34"/>
      <c r="S73" s="34"/>
      <c r="T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</row>
    <row r="74" spans="2:50" x14ac:dyDescent="0.3">
      <c r="B74" s="34"/>
      <c r="C74" s="34"/>
      <c r="D74" s="34"/>
      <c r="E74" s="34"/>
      <c r="F74" s="34"/>
      <c r="G74" s="34"/>
      <c r="H74" s="76"/>
      <c r="I74" s="34"/>
      <c r="J74" s="34"/>
      <c r="K74" s="36"/>
      <c r="L74" s="34"/>
      <c r="M74" s="34"/>
      <c r="N74" s="36"/>
      <c r="O74" s="34"/>
      <c r="P74" s="34"/>
      <c r="Q74" s="36"/>
      <c r="R74" s="34"/>
      <c r="S74" s="34"/>
      <c r="T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</row>
    <row r="75" spans="2:50" x14ac:dyDescent="0.3">
      <c r="B75" s="34"/>
      <c r="C75" s="34"/>
      <c r="D75" s="34"/>
      <c r="E75" s="34"/>
      <c r="F75" s="34"/>
      <c r="G75" s="34"/>
      <c r="H75" s="76"/>
      <c r="I75" s="34"/>
      <c r="J75" s="34"/>
      <c r="K75" s="36"/>
      <c r="L75" s="34"/>
      <c r="M75" s="34"/>
      <c r="N75" s="36"/>
      <c r="O75" s="34"/>
      <c r="P75" s="34"/>
      <c r="Q75" s="36"/>
      <c r="R75" s="34"/>
      <c r="S75" s="34"/>
      <c r="T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</row>
    <row r="76" spans="2:50" x14ac:dyDescent="0.3">
      <c r="B76" s="34"/>
      <c r="C76" s="34"/>
      <c r="D76" s="34"/>
      <c r="E76" s="34"/>
      <c r="F76" s="34"/>
      <c r="G76" s="34"/>
      <c r="H76" s="76"/>
      <c r="I76" s="34"/>
      <c r="J76" s="34"/>
      <c r="K76" s="36"/>
      <c r="L76" s="34"/>
      <c r="M76" s="34"/>
      <c r="N76" s="36"/>
      <c r="O76" s="34"/>
      <c r="P76" s="34"/>
      <c r="Q76" s="36"/>
      <c r="R76" s="34"/>
      <c r="S76" s="34"/>
      <c r="T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</row>
    <row r="77" spans="2:50" x14ac:dyDescent="0.3">
      <c r="B77" s="34"/>
      <c r="C77" s="34"/>
      <c r="D77" s="34"/>
      <c r="E77" s="34"/>
      <c r="F77" s="34"/>
      <c r="G77" s="34"/>
      <c r="H77" s="76"/>
      <c r="I77" s="34"/>
      <c r="J77" s="34"/>
      <c r="K77" s="36"/>
      <c r="L77" s="34"/>
      <c r="M77" s="34"/>
      <c r="N77" s="36"/>
      <c r="O77" s="34"/>
      <c r="P77" s="34"/>
      <c r="Q77" s="36"/>
      <c r="R77" s="34"/>
      <c r="S77" s="34"/>
      <c r="T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</row>
    <row r="78" spans="2:50" x14ac:dyDescent="0.3">
      <c r="B78" s="34"/>
      <c r="C78" s="34"/>
      <c r="D78" s="34"/>
      <c r="E78" s="34"/>
      <c r="F78" s="34"/>
      <c r="G78" s="34"/>
      <c r="H78" s="76"/>
      <c r="I78" s="34"/>
      <c r="J78" s="34"/>
      <c r="K78" s="36"/>
      <c r="L78" s="34"/>
      <c r="M78" s="34"/>
      <c r="N78" s="36"/>
      <c r="O78" s="34"/>
      <c r="P78" s="34"/>
      <c r="Q78" s="36"/>
      <c r="R78" s="34"/>
      <c r="S78" s="34"/>
      <c r="T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</row>
    <row r="79" spans="2:50" x14ac:dyDescent="0.3">
      <c r="B79" s="34"/>
      <c r="C79" s="34"/>
      <c r="D79" s="34"/>
      <c r="E79" s="34"/>
      <c r="F79" s="34"/>
      <c r="G79" s="34"/>
      <c r="H79" s="76"/>
      <c r="I79" s="34"/>
      <c r="J79" s="34"/>
      <c r="K79" s="36"/>
      <c r="L79" s="34"/>
      <c r="M79" s="34"/>
      <c r="N79" s="36"/>
      <c r="O79" s="34"/>
      <c r="P79" s="34"/>
      <c r="Q79" s="36"/>
      <c r="R79" s="34"/>
      <c r="S79" s="34"/>
      <c r="T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</row>
    <row r="80" spans="2:50" x14ac:dyDescent="0.3">
      <c r="B80" s="34"/>
      <c r="C80" s="34"/>
      <c r="D80" s="34"/>
      <c r="E80" s="34"/>
      <c r="F80" s="34"/>
      <c r="G80" s="34"/>
      <c r="H80" s="76"/>
      <c r="I80" s="34"/>
      <c r="J80" s="34"/>
      <c r="K80" s="36"/>
      <c r="L80" s="34"/>
      <c r="M80" s="34"/>
      <c r="N80" s="36"/>
      <c r="O80" s="34"/>
      <c r="P80" s="34"/>
      <c r="Q80" s="36"/>
      <c r="R80" s="34"/>
      <c r="S80" s="34"/>
      <c r="T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</row>
    <row r="81" spans="2:50" x14ac:dyDescent="0.3">
      <c r="B81" s="34"/>
      <c r="C81" s="34"/>
      <c r="D81" s="34"/>
      <c r="E81" s="34"/>
      <c r="F81" s="34"/>
      <c r="G81" s="34"/>
      <c r="H81" s="76"/>
      <c r="I81" s="34"/>
      <c r="J81" s="34"/>
      <c r="K81" s="36"/>
      <c r="L81" s="34"/>
      <c r="M81" s="34"/>
      <c r="N81" s="36"/>
      <c r="O81" s="34"/>
      <c r="P81" s="34"/>
      <c r="Q81" s="36"/>
      <c r="R81" s="34"/>
      <c r="S81" s="34"/>
      <c r="T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</row>
    <row r="82" spans="2:50" x14ac:dyDescent="0.3">
      <c r="B82" s="34"/>
      <c r="C82" s="34"/>
      <c r="D82" s="34"/>
      <c r="E82" s="34"/>
      <c r="F82" s="34"/>
      <c r="G82" s="34"/>
      <c r="H82" s="76"/>
      <c r="I82" s="34"/>
      <c r="J82" s="34"/>
      <c r="K82" s="36"/>
      <c r="L82" s="34"/>
      <c r="M82" s="34"/>
      <c r="N82" s="36"/>
      <c r="O82" s="34"/>
      <c r="P82" s="34"/>
      <c r="Q82" s="36"/>
      <c r="R82" s="34"/>
      <c r="S82" s="34"/>
      <c r="T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</row>
    <row r="83" spans="2:50" x14ac:dyDescent="0.3">
      <c r="B83" s="34"/>
      <c r="C83" s="34"/>
      <c r="D83" s="34"/>
      <c r="E83" s="34"/>
      <c r="F83" s="34"/>
      <c r="G83" s="34"/>
      <c r="H83" s="76"/>
      <c r="I83" s="34"/>
      <c r="J83" s="34"/>
      <c r="K83" s="36"/>
      <c r="L83" s="34"/>
      <c r="M83" s="34"/>
      <c r="N83" s="36"/>
      <c r="O83" s="34"/>
      <c r="P83" s="34"/>
      <c r="Q83" s="36"/>
      <c r="R83" s="34"/>
      <c r="S83" s="34"/>
      <c r="T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</row>
    <row r="84" spans="2:50" x14ac:dyDescent="0.3">
      <c r="B84" s="34"/>
      <c r="C84" s="34"/>
      <c r="D84" s="34"/>
      <c r="E84" s="34"/>
      <c r="F84" s="34"/>
      <c r="G84" s="34"/>
      <c r="H84" s="76"/>
      <c r="I84" s="34"/>
      <c r="J84" s="34"/>
      <c r="K84" s="36"/>
      <c r="L84" s="34"/>
      <c r="M84" s="34"/>
      <c r="N84" s="36"/>
      <c r="O84" s="34"/>
      <c r="P84" s="34"/>
      <c r="Q84" s="36"/>
      <c r="R84" s="34"/>
      <c r="S84" s="34"/>
      <c r="T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</row>
    <row r="85" spans="2:50" x14ac:dyDescent="0.3">
      <c r="B85" s="34"/>
      <c r="C85" s="34"/>
      <c r="D85" s="34"/>
      <c r="E85" s="34"/>
      <c r="F85" s="34"/>
      <c r="G85" s="34"/>
      <c r="H85" s="76"/>
      <c r="I85" s="34"/>
      <c r="J85" s="34"/>
      <c r="K85" s="36"/>
      <c r="L85" s="34"/>
      <c r="M85" s="34"/>
      <c r="N85" s="36"/>
      <c r="O85" s="34"/>
      <c r="P85" s="34"/>
      <c r="Q85" s="36"/>
      <c r="R85" s="34"/>
      <c r="S85" s="34"/>
      <c r="T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</row>
    <row r="86" spans="2:50" x14ac:dyDescent="0.3">
      <c r="B86" s="34"/>
      <c r="C86" s="34"/>
      <c r="D86" s="34"/>
      <c r="E86" s="34"/>
      <c r="F86" s="34"/>
      <c r="G86" s="34"/>
      <c r="H86" s="76"/>
      <c r="I86" s="34"/>
      <c r="J86" s="34"/>
      <c r="K86" s="36"/>
      <c r="L86" s="34"/>
      <c r="M86" s="34"/>
      <c r="N86" s="36"/>
      <c r="O86" s="34"/>
      <c r="P86" s="34"/>
      <c r="Q86" s="36"/>
      <c r="R86" s="34"/>
      <c r="S86" s="34"/>
      <c r="T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</row>
    <row r="87" spans="2:50" x14ac:dyDescent="0.3">
      <c r="B87" s="34"/>
      <c r="C87" s="34"/>
      <c r="D87" s="34"/>
      <c r="E87" s="34"/>
      <c r="F87" s="34"/>
      <c r="G87" s="34"/>
      <c r="H87" s="76"/>
      <c r="I87" s="34"/>
      <c r="J87" s="34"/>
      <c r="K87" s="36"/>
      <c r="L87" s="34"/>
      <c r="M87" s="34"/>
      <c r="N87" s="36"/>
      <c r="O87" s="34"/>
      <c r="P87" s="34"/>
      <c r="Q87" s="36"/>
      <c r="R87" s="34"/>
      <c r="S87" s="34"/>
      <c r="T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</row>
    <row r="88" spans="2:50" x14ac:dyDescent="0.3">
      <c r="B88" s="34"/>
      <c r="C88" s="34"/>
      <c r="D88" s="34"/>
      <c r="E88" s="34"/>
      <c r="F88" s="34"/>
      <c r="G88" s="34"/>
      <c r="H88" s="76"/>
      <c r="I88" s="34"/>
      <c r="J88" s="34"/>
      <c r="K88" s="36"/>
      <c r="L88" s="34"/>
      <c r="M88" s="34"/>
      <c r="N88" s="36"/>
      <c r="O88" s="34"/>
      <c r="P88" s="34"/>
      <c r="Q88" s="36"/>
      <c r="R88" s="34"/>
      <c r="S88" s="34"/>
      <c r="T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</row>
    <row r="89" spans="2:50" x14ac:dyDescent="0.3">
      <c r="B89" s="34"/>
      <c r="C89" s="34"/>
      <c r="D89" s="34"/>
      <c r="E89" s="34"/>
      <c r="F89" s="34"/>
      <c r="G89" s="34"/>
      <c r="H89" s="76"/>
      <c r="I89" s="34"/>
      <c r="J89" s="34"/>
      <c r="K89" s="36"/>
      <c r="L89" s="34"/>
      <c r="M89" s="34"/>
      <c r="N89" s="36"/>
      <c r="O89" s="34"/>
      <c r="P89" s="34"/>
      <c r="Q89" s="36"/>
      <c r="R89" s="34"/>
      <c r="S89" s="34"/>
      <c r="T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</row>
    <row r="90" spans="2:50" x14ac:dyDescent="0.3">
      <c r="B90" s="34"/>
      <c r="C90" s="34"/>
      <c r="D90" s="34"/>
      <c r="E90" s="34"/>
      <c r="F90" s="34"/>
      <c r="G90" s="34"/>
      <c r="H90" s="76"/>
      <c r="I90" s="34"/>
      <c r="J90" s="34"/>
      <c r="K90" s="36"/>
      <c r="L90" s="34"/>
      <c r="M90" s="34"/>
      <c r="N90" s="36"/>
      <c r="O90" s="34"/>
      <c r="P90" s="34"/>
      <c r="Q90" s="36"/>
      <c r="R90" s="34"/>
      <c r="S90" s="34"/>
      <c r="T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</row>
    <row r="91" spans="2:50" x14ac:dyDescent="0.3">
      <c r="B91" s="34"/>
      <c r="C91" s="34"/>
      <c r="D91" s="34"/>
      <c r="E91" s="34"/>
      <c r="F91" s="34"/>
      <c r="G91" s="34"/>
      <c r="H91" s="76"/>
      <c r="I91" s="34"/>
      <c r="J91" s="34"/>
      <c r="K91" s="36"/>
      <c r="L91" s="34"/>
      <c r="M91" s="34"/>
      <c r="N91" s="36"/>
      <c r="O91" s="34"/>
      <c r="P91" s="34"/>
      <c r="Q91" s="36"/>
      <c r="R91" s="34"/>
      <c r="S91" s="34"/>
      <c r="T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</row>
    <row r="92" spans="2:50" x14ac:dyDescent="0.3">
      <c r="B92" s="34"/>
      <c r="C92" s="34"/>
      <c r="D92" s="34"/>
      <c r="E92" s="34"/>
      <c r="F92" s="34"/>
      <c r="G92" s="34"/>
      <c r="H92" s="76"/>
      <c r="I92" s="34"/>
      <c r="J92" s="34"/>
      <c r="K92" s="36"/>
      <c r="L92" s="34"/>
      <c r="M92" s="34"/>
      <c r="N92" s="36"/>
      <c r="O92" s="34"/>
      <c r="P92" s="34"/>
      <c r="Q92" s="36"/>
      <c r="R92" s="34"/>
      <c r="S92" s="34"/>
      <c r="T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</row>
    <row r="93" spans="2:50" x14ac:dyDescent="0.3">
      <c r="B93" s="34"/>
      <c r="C93" s="34"/>
      <c r="D93" s="34"/>
      <c r="E93" s="34"/>
      <c r="F93" s="34"/>
      <c r="G93" s="34"/>
      <c r="H93" s="76"/>
      <c r="I93" s="34"/>
      <c r="J93" s="34"/>
      <c r="K93" s="36"/>
      <c r="L93" s="34"/>
      <c r="M93" s="34"/>
      <c r="N93" s="36"/>
      <c r="O93" s="34"/>
      <c r="P93" s="34"/>
      <c r="Q93" s="36"/>
      <c r="R93" s="34"/>
      <c r="S93" s="34"/>
      <c r="T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</row>
    <row r="94" spans="2:50" x14ac:dyDescent="0.3">
      <c r="B94" s="34"/>
      <c r="C94" s="34"/>
      <c r="D94" s="34"/>
      <c r="E94" s="34"/>
      <c r="F94" s="34"/>
      <c r="G94" s="34"/>
      <c r="H94" s="76"/>
      <c r="I94" s="34"/>
      <c r="J94" s="34"/>
      <c r="K94" s="36"/>
      <c r="L94" s="34"/>
      <c r="M94" s="34"/>
      <c r="N94" s="36"/>
      <c r="O94" s="34"/>
      <c r="P94" s="34"/>
      <c r="Q94" s="36"/>
      <c r="R94" s="34"/>
      <c r="S94" s="34"/>
      <c r="T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</row>
    <row r="95" spans="2:50" x14ac:dyDescent="0.3">
      <c r="B95" s="34"/>
      <c r="C95" s="34"/>
      <c r="D95" s="34"/>
      <c r="E95" s="34"/>
      <c r="F95" s="34"/>
      <c r="G95" s="34"/>
      <c r="H95" s="76"/>
      <c r="I95" s="34"/>
      <c r="J95" s="34"/>
      <c r="K95" s="36"/>
      <c r="L95" s="34"/>
      <c r="M95" s="34"/>
      <c r="N95" s="36"/>
      <c r="O95" s="34"/>
      <c r="P95" s="34"/>
      <c r="Q95" s="36"/>
      <c r="R95" s="34"/>
      <c r="S95" s="34"/>
      <c r="T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</row>
    <row r="96" spans="2:50" x14ac:dyDescent="0.3">
      <c r="B96" s="34"/>
      <c r="C96" s="34"/>
      <c r="D96" s="34"/>
      <c r="E96" s="34"/>
      <c r="F96" s="34"/>
      <c r="G96" s="34"/>
      <c r="H96" s="76"/>
      <c r="I96" s="34"/>
      <c r="J96" s="34"/>
      <c r="K96" s="36"/>
      <c r="L96" s="34"/>
      <c r="M96" s="34"/>
      <c r="N96" s="36"/>
      <c r="O96" s="34"/>
      <c r="P96" s="34"/>
      <c r="Q96" s="36"/>
      <c r="R96" s="34"/>
      <c r="S96" s="34"/>
      <c r="T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</row>
    <row r="97" spans="2:50" x14ac:dyDescent="0.3">
      <c r="B97" s="34"/>
      <c r="C97" s="34"/>
      <c r="D97" s="34"/>
      <c r="E97" s="34"/>
      <c r="F97" s="34"/>
      <c r="G97" s="34"/>
      <c r="H97" s="76"/>
      <c r="I97" s="34"/>
      <c r="J97" s="34"/>
      <c r="K97" s="36"/>
      <c r="L97" s="34"/>
      <c r="M97" s="34"/>
      <c r="N97" s="36"/>
      <c r="O97" s="34"/>
      <c r="P97" s="34"/>
      <c r="Q97" s="36"/>
      <c r="R97" s="34"/>
      <c r="S97" s="34"/>
      <c r="T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</row>
    <row r="98" spans="2:50" x14ac:dyDescent="0.3">
      <c r="B98" s="34"/>
      <c r="C98" s="34"/>
      <c r="D98" s="34"/>
      <c r="E98" s="34"/>
      <c r="F98" s="34"/>
      <c r="G98" s="34"/>
      <c r="H98" s="76"/>
      <c r="I98" s="34"/>
      <c r="J98" s="34"/>
      <c r="K98" s="36"/>
      <c r="L98" s="34"/>
      <c r="M98" s="34"/>
      <c r="N98" s="36"/>
      <c r="O98" s="34"/>
      <c r="P98" s="34"/>
      <c r="Q98" s="36"/>
      <c r="R98" s="34"/>
      <c r="S98" s="34"/>
      <c r="T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</row>
    <row r="99" spans="2:50" x14ac:dyDescent="0.3">
      <c r="B99" s="34"/>
      <c r="C99" s="34"/>
      <c r="D99" s="34"/>
      <c r="E99" s="34"/>
      <c r="F99" s="34"/>
      <c r="G99" s="34"/>
      <c r="H99" s="76"/>
      <c r="I99" s="34"/>
      <c r="J99" s="34"/>
      <c r="K99" s="36"/>
      <c r="L99" s="34"/>
      <c r="M99" s="34"/>
      <c r="N99" s="36"/>
      <c r="O99" s="34"/>
      <c r="P99" s="34"/>
      <c r="Q99" s="36"/>
      <c r="R99" s="34"/>
      <c r="S99" s="34"/>
      <c r="T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</row>
    <row r="100" spans="2:50" x14ac:dyDescent="0.3">
      <c r="B100" s="34"/>
      <c r="C100" s="34"/>
      <c r="D100" s="34"/>
      <c r="E100" s="34"/>
      <c r="F100" s="34"/>
      <c r="G100" s="34"/>
      <c r="H100" s="76"/>
      <c r="I100" s="34"/>
      <c r="J100" s="34"/>
      <c r="K100" s="36"/>
      <c r="L100" s="34"/>
      <c r="M100" s="34"/>
      <c r="N100" s="36"/>
      <c r="O100" s="34"/>
      <c r="P100" s="34"/>
      <c r="Q100" s="36"/>
      <c r="R100" s="34"/>
      <c r="S100" s="34"/>
      <c r="T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</row>
    <row r="101" spans="2:50" x14ac:dyDescent="0.3">
      <c r="B101" s="34"/>
      <c r="C101" s="34"/>
      <c r="D101" s="34"/>
      <c r="E101" s="34"/>
      <c r="F101" s="34"/>
      <c r="G101" s="34"/>
      <c r="H101" s="76"/>
      <c r="I101" s="34"/>
      <c r="J101" s="34"/>
      <c r="K101" s="36"/>
      <c r="L101" s="34"/>
      <c r="M101" s="34"/>
      <c r="N101" s="36"/>
      <c r="O101" s="34"/>
      <c r="P101" s="34"/>
      <c r="Q101" s="36"/>
      <c r="R101" s="34"/>
      <c r="S101" s="34"/>
      <c r="T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</row>
    <row r="102" spans="2:50" x14ac:dyDescent="0.3">
      <c r="B102" s="34"/>
      <c r="C102" s="34"/>
      <c r="D102" s="34"/>
      <c r="E102" s="34"/>
      <c r="F102" s="34"/>
      <c r="G102" s="34"/>
      <c r="H102" s="76"/>
      <c r="I102" s="34"/>
      <c r="J102" s="34"/>
      <c r="K102" s="36"/>
      <c r="L102" s="34"/>
      <c r="M102" s="34"/>
      <c r="N102" s="36"/>
      <c r="O102" s="34"/>
      <c r="P102" s="34"/>
      <c r="Q102" s="36"/>
      <c r="R102" s="34"/>
      <c r="S102" s="34"/>
      <c r="T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</row>
    <row r="103" spans="2:50" x14ac:dyDescent="0.3">
      <c r="B103" s="34"/>
      <c r="C103" s="34"/>
      <c r="D103" s="34"/>
      <c r="E103" s="34"/>
      <c r="F103" s="34"/>
      <c r="G103" s="34"/>
      <c r="H103" s="76"/>
      <c r="I103" s="34"/>
      <c r="J103" s="34"/>
      <c r="K103" s="36"/>
      <c r="L103" s="34"/>
      <c r="M103" s="34"/>
      <c r="N103" s="36"/>
      <c r="O103" s="34"/>
      <c r="P103" s="34"/>
      <c r="Q103" s="36"/>
      <c r="R103" s="34"/>
      <c r="S103" s="34"/>
      <c r="T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</row>
    <row r="104" spans="2:50" x14ac:dyDescent="0.3">
      <c r="B104" s="34"/>
      <c r="C104" s="34"/>
      <c r="D104" s="34"/>
      <c r="E104" s="34"/>
      <c r="F104" s="34"/>
      <c r="G104" s="34"/>
      <c r="H104" s="76"/>
      <c r="I104" s="34"/>
      <c r="J104" s="34"/>
      <c r="K104" s="36"/>
      <c r="L104" s="34"/>
      <c r="M104" s="34"/>
      <c r="N104" s="36"/>
      <c r="O104" s="34"/>
      <c r="P104" s="34"/>
      <c r="Q104" s="36"/>
      <c r="R104" s="34"/>
      <c r="S104" s="34"/>
      <c r="T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</row>
    <row r="105" spans="2:50" x14ac:dyDescent="0.3">
      <c r="B105" s="34"/>
      <c r="C105" s="34"/>
      <c r="D105" s="34"/>
      <c r="E105" s="34"/>
      <c r="F105" s="34"/>
      <c r="G105" s="34"/>
      <c r="H105" s="76"/>
      <c r="I105" s="34"/>
      <c r="J105" s="34"/>
      <c r="K105" s="36"/>
      <c r="L105" s="34"/>
      <c r="M105" s="34"/>
      <c r="N105" s="36"/>
      <c r="O105" s="34"/>
      <c r="P105" s="34"/>
      <c r="Q105" s="36"/>
      <c r="R105" s="34"/>
      <c r="S105" s="34"/>
      <c r="T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</row>
    <row r="106" spans="2:50" x14ac:dyDescent="0.3">
      <c r="B106" s="34"/>
      <c r="C106" s="34"/>
      <c r="D106" s="34"/>
      <c r="E106" s="34"/>
      <c r="F106" s="34"/>
      <c r="G106" s="34"/>
      <c r="H106" s="76"/>
      <c r="I106" s="34"/>
      <c r="J106" s="34"/>
      <c r="K106" s="36"/>
      <c r="L106" s="34"/>
      <c r="M106" s="34"/>
      <c r="N106" s="36"/>
      <c r="O106" s="34"/>
      <c r="P106" s="34"/>
      <c r="Q106" s="36"/>
      <c r="R106" s="34"/>
      <c r="S106" s="34"/>
      <c r="T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</row>
    <row r="107" spans="2:50" x14ac:dyDescent="0.3">
      <c r="B107" s="34"/>
      <c r="C107" s="34"/>
      <c r="D107" s="34"/>
      <c r="E107" s="34"/>
      <c r="F107" s="34"/>
      <c r="G107" s="34"/>
      <c r="H107" s="76"/>
      <c r="I107" s="34"/>
      <c r="J107" s="34"/>
      <c r="K107" s="36"/>
      <c r="L107" s="34"/>
      <c r="M107" s="34"/>
      <c r="N107" s="36"/>
      <c r="O107" s="34"/>
      <c r="P107" s="34"/>
      <c r="Q107" s="36"/>
      <c r="R107" s="34"/>
      <c r="S107" s="34"/>
      <c r="T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</row>
    <row r="108" spans="2:50" x14ac:dyDescent="0.3">
      <c r="B108" s="34"/>
      <c r="C108" s="34"/>
      <c r="D108" s="34"/>
      <c r="E108" s="34"/>
      <c r="F108" s="34"/>
      <c r="G108" s="34"/>
      <c r="H108" s="76"/>
      <c r="I108" s="34"/>
      <c r="J108" s="34"/>
      <c r="K108" s="36"/>
      <c r="L108" s="34"/>
      <c r="M108" s="34"/>
      <c r="N108" s="36"/>
      <c r="O108" s="34"/>
      <c r="P108" s="34"/>
      <c r="Q108" s="36"/>
      <c r="R108" s="34"/>
      <c r="S108" s="34"/>
      <c r="T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</row>
    <row r="109" spans="2:50" x14ac:dyDescent="0.3">
      <c r="B109" s="34"/>
      <c r="C109" s="34"/>
      <c r="D109" s="34"/>
      <c r="E109" s="34"/>
      <c r="F109" s="34"/>
      <c r="G109" s="34"/>
      <c r="H109" s="76"/>
      <c r="I109" s="34"/>
      <c r="J109" s="34"/>
      <c r="K109" s="36"/>
      <c r="L109" s="34"/>
      <c r="M109" s="34"/>
      <c r="N109" s="36"/>
      <c r="O109" s="34"/>
      <c r="P109" s="34"/>
      <c r="Q109" s="36"/>
      <c r="R109" s="34"/>
      <c r="S109" s="34"/>
      <c r="T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</row>
    <row r="110" spans="2:50" x14ac:dyDescent="0.3">
      <c r="B110" s="34"/>
      <c r="C110" s="34"/>
      <c r="D110" s="34"/>
      <c r="E110" s="34"/>
      <c r="F110" s="34"/>
      <c r="G110" s="34"/>
      <c r="H110" s="76"/>
      <c r="I110" s="34"/>
      <c r="J110" s="34"/>
      <c r="K110" s="36"/>
      <c r="L110" s="34"/>
      <c r="M110" s="34"/>
      <c r="N110" s="36"/>
      <c r="O110" s="34"/>
      <c r="P110" s="34"/>
      <c r="Q110" s="36"/>
      <c r="R110" s="34"/>
      <c r="S110" s="34"/>
      <c r="T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</row>
    <row r="111" spans="2:50" x14ac:dyDescent="0.3">
      <c r="B111" s="34"/>
      <c r="C111" s="34"/>
      <c r="D111" s="34"/>
      <c r="E111" s="34"/>
      <c r="F111" s="34"/>
      <c r="G111" s="34"/>
      <c r="H111" s="76"/>
      <c r="I111" s="34"/>
      <c r="J111" s="34"/>
      <c r="K111" s="36"/>
      <c r="L111" s="34"/>
      <c r="M111" s="34"/>
      <c r="N111" s="36"/>
      <c r="O111" s="34"/>
      <c r="P111" s="34"/>
      <c r="Q111" s="36"/>
      <c r="R111" s="34"/>
      <c r="S111" s="34"/>
      <c r="T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</row>
    <row r="112" spans="2:50" x14ac:dyDescent="0.3">
      <c r="B112" s="34"/>
      <c r="C112" s="34"/>
      <c r="D112" s="34"/>
      <c r="E112" s="34"/>
      <c r="F112" s="34"/>
      <c r="G112" s="34"/>
      <c r="H112" s="76"/>
      <c r="I112" s="34"/>
      <c r="J112" s="34"/>
      <c r="K112" s="36"/>
      <c r="L112" s="34"/>
      <c r="M112" s="34"/>
      <c r="N112" s="36"/>
      <c r="O112" s="34"/>
      <c r="P112" s="34"/>
      <c r="Q112" s="36"/>
      <c r="R112" s="34"/>
      <c r="S112" s="34"/>
      <c r="T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</row>
    <row r="113" spans="2:50" x14ac:dyDescent="0.3">
      <c r="B113" s="34"/>
      <c r="C113" s="34"/>
      <c r="D113" s="34"/>
      <c r="E113" s="34"/>
      <c r="F113" s="34"/>
      <c r="G113" s="34"/>
      <c r="H113" s="76"/>
      <c r="I113" s="34"/>
      <c r="J113" s="34"/>
      <c r="K113" s="36"/>
      <c r="L113" s="34"/>
      <c r="M113" s="34"/>
      <c r="N113" s="36"/>
      <c r="O113" s="34"/>
      <c r="P113" s="34"/>
      <c r="Q113" s="36"/>
      <c r="R113" s="34"/>
      <c r="S113" s="34"/>
      <c r="T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</row>
    <row r="114" spans="2:50" x14ac:dyDescent="0.3">
      <c r="B114" s="34"/>
      <c r="C114" s="34"/>
      <c r="D114" s="34"/>
      <c r="E114" s="34"/>
      <c r="F114" s="34"/>
      <c r="G114" s="34"/>
      <c r="H114" s="76"/>
      <c r="I114" s="34"/>
      <c r="J114" s="34"/>
      <c r="K114" s="36"/>
      <c r="L114" s="34"/>
      <c r="M114" s="34"/>
      <c r="N114" s="36"/>
      <c r="O114" s="34"/>
      <c r="P114" s="34"/>
      <c r="Q114" s="36"/>
      <c r="R114" s="34"/>
      <c r="S114" s="34"/>
      <c r="T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</row>
    <row r="115" spans="2:50" x14ac:dyDescent="0.3">
      <c r="B115" s="34"/>
      <c r="C115" s="34"/>
      <c r="D115" s="34"/>
      <c r="E115" s="34"/>
      <c r="F115" s="34"/>
      <c r="G115" s="34"/>
      <c r="H115" s="76"/>
      <c r="I115" s="34"/>
      <c r="J115" s="34"/>
      <c r="K115" s="36"/>
      <c r="L115" s="34"/>
      <c r="M115" s="34"/>
      <c r="N115" s="36"/>
      <c r="O115" s="34"/>
      <c r="P115" s="34"/>
      <c r="Q115" s="36"/>
      <c r="R115" s="34"/>
      <c r="S115" s="34"/>
      <c r="T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</row>
    <row r="116" spans="2:50" x14ac:dyDescent="0.3">
      <c r="B116" s="34"/>
      <c r="C116" s="34"/>
      <c r="D116" s="34"/>
      <c r="E116" s="34"/>
      <c r="F116" s="34"/>
      <c r="G116" s="34"/>
      <c r="H116" s="76"/>
      <c r="I116" s="34"/>
      <c r="J116" s="34"/>
      <c r="K116" s="36"/>
      <c r="L116" s="34"/>
      <c r="M116" s="34"/>
      <c r="N116" s="36"/>
      <c r="O116" s="34"/>
      <c r="P116" s="34"/>
      <c r="Q116" s="36"/>
      <c r="R116" s="34"/>
      <c r="S116" s="34"/>
      <c r="T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</row>
    <row r="117" spans="2:50" x14ac:dyDescent="0.3">
      <c r="B117" s="34"/>
      <c r="C117" s="34"/>
      <c r="D117" s="34"/>
      <c r="E117" s="34"/>
      <c r="F117" s="34"/>
      <c r="G117" s="34"/>
      <c r="H117" s="76"/>
      <c r="I117" s="34"/>
      <c r="J117" s="34"/>
      <c r="K117" s="36"/>
      <c r="L117" s="34"/>
      <c r="M117" s="34"/>
      <c r="N117" s="36"/>
      <c r="O117" s="34"/>
      <c r="P117" s="34"/>
      <c r="Q117" s="36"/>
      <c r="R117" s="34"/>
      <c r="S117" s="34"/>
      <c r="T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</row>
    <row r="118" spans="2:50" x14ac:dyDescent="0.3">
      <c r="B118" s="34"/>
      <c r="C118" s="34"/>
      <c r="D118" s="34"/>
      <c r="E118" s="34"/>
      <c r="F118" s="34"/>
      <c r="G118" s="34"/>
      <c r="H118" s="76"/>
      <c r="I118" s="34"/>
      <c r="J118" s="34"/>
      <c r="K118" s="36"/>
      <c r="L118" s="34"/>
      <c r="M118" s="34"/>
      <c r="N118" s="36"/>
      <c r="O118" s="34"/>
      <c r="P118" s="34"/>
      <c r="Q118" s="36"/>
      <c r="R118" s="34"/>
      <c r="S118" s="34"/>
      <c r="T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</row>
    <row r="119" spans="2:50" x14ac:dyDescent="0.3">
      <c r="B119" s="34"/>
      <c r="C119" s="34"/>
      <c r="D119" s="34"/>
      <c r="E119" s="34"/>
      <c r="F119" s="34"/>
      <c r="G119" s="34"/>
      <c r="H119" s="76"/>
      <c r="I119" s="34"/>
      <c r="J119" s="34"/>
      <c r="K119" s="36"/>
      <c r="L119" s="34"/>
      <c r="M119" s="34"/>
      <c r="N119" s="36"/>
      <c r="O119" s="34"/>
      <c r="P119" s="34"/>
      <c r="Q119" s="36"/>
      <c r="R119" s="34"/>
      <c r="S119" s="34"/>
      <c r="T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</row>
    <row r="120" spans="2:50" x14ac:dyDescent="0.3">
      <c r="B120" s="34"/>
      <c r="C120" s="34"/>
      <c r="D120" s="34"/>
      <c r="E120" s="34"/>
      <c r="F120" s="34"/>
      <c r="G120" s="34"/>
      <c r="H120" s="76"/>
      <c r="I120" s="34"/>
      <c r="J120" s="34"/>
      <c r="K120" s="36"/>
      <c r="L120" s="34"/>
      <c r="M120" s="34"/>
      <c r="N120" s="36"/>
      <c r="O120" s="34"/>
      <c r="P120" s="34"/>
      <c r="Q120" s="36"/>
      <c r="R120" s="34"/>
      <c r="S120" s="34"/>
      <c r="T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</row>
    <row r="121" spans="2:50" x14ac:dyDescent="0.3">
      <c r="B121" s="34"/>
      <c r="C121" s="34"/>
      <c r="D121" s="34"/>
      <c r="E121" s="34"/>
      <c r="F121" s="34"/>
      <c r="G121" s="34"/>
      <c r="H121" s="76"/>
      <c r="I121" s="34"/>
      <c r="J121" s="34"/>
      <c r="K121" s="36"/>
      <c r="L121" s="34"/>
      <c r="M121" s="34"/>
      <c r="N121" s="36"/>
      <c r="O121" s="34"/>
      <c r="P121" s="34"/>
      <c r="Q121" s="36"/>
      <c r="R121" s="34"/>
      <c r="S121" s="34"/>
      <c r="T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</row>
    <row r="122" spans="2:50" x14ac:dyDescent="0.3">
      <c r="B122" s="34"/>
      <c r="C122" s="34"/>
      <c r="D122" s="34"/>
      <c r="E122" s="34"/>
      <c r="F122" s="34"/>
      <c r="G122" s="34"/>
      <c r="H122" s="76"/>
      <c r="I122" s="34"/>
      <c r="J122" s="34"/>
      <c r="K122" s="36"/>
      <c r="L122" s="34"/>
      <c r="M122" s="34"/>
      <c r="N122" s="36"/>
      <c r="O122" s="34"/>
      <c r="P122" s="34"/>
      <c r="Q122" s="36"/>
      <c r="R122" s="34"/>
      <c r="S122" s="34"/>
      <c r="T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</row>
    <row r="123" spans="2:50" x14ac:dyDescent="0.3">
      <c r="B123" s="34"/>
      <c r="C123" s="34"/>
      <c r="D123" s="34"/>
      <c r="E123" s="34"/>
      <c r="F123" s="34"/>
      <c r="G123" s="34"/>
      <c r="H123" s="76"/>
      <c r="I123" s="34"/>
      <c r="J123" s="34"/>
      <c r="K123" s="36"/>
      <c r="L123" s="34"/>
      <c r="M123" s="34"/>
      <c r="N123" s="36"/>
      <c r="O123" s="34"/>
      <c r="P123" s="34"/>
      <c r="Q123" s="36"/>
      <c r="R123" s="34"/>
      <c r="S123" s="34"/>
      <c r="T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</row>
    <row r="124" spans="2:50" x14ac:dyDescent="0.3">
      <c r="B124" s="34"/>
      <c r="C124" s="34"/>
      <c r="D124" s="34"/>
      <c r="E124" s="34"/>
      <c r="F124" s="34"/>
      <c r="G124" s="34"/>
      <c r="H124" s="76"/>
      <c r="I124" s="34"/>
      <c r="J124" s="34"/>
      <c r="K124" s="36"/>
      <c r="L124" s="34"/>
      <c r="M124" s="34"/>
      <c r="N124" s="36"/>
      <c r="O124" s="34"/>
      <c r="P124" s="34"/>
      <c r="Q124" s="36"/>
      <c r="R124" s="34"/>
      <c r="S124" s="34"/>
      <c r="T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</row>
    <row r="125" spans="2:50" x14ac:dyDescent="0.3">
      <c r="B125" s="34"/>
      <c r="C125" s="34"/>
      <c r="D125" s="34"/>
      <c r="E125" s="34"/>
      <c r="F125" s="34"/>
      <c r="G125" s="34"/>
      <c r="H125" s="76"/>
      <c r="I125" s="34"/>
      <c r="J125" s="34"/>
      <c r="K125" s="36"/>
      <c r="L125" s="34"/>
      <c r="M125" s="34"/>
      <c r="N125" s="36"/>
      <c r="O125" s="34"/>
      <c r="P125" s="34"/>
      <c r="Q125" s="36"/>
      <c r="R125" s="34"/>
      <c r="S125" s="34"/>
      <c r="T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</row>
    <row r="126" spans="2:50" x14ac:dyDescent="0.3">
      <c r="B126" s="34"/>
      <c r="C126" s="34"/>
      <c r="D126" s="34"/>
      <c r="E126" s="34"/>
      <c r="F126" s="34"/>
      <c r="G126" s="34"/>
      <c r="H126" s="76"/>
      <c r="I126" s="34"/>
      <c r="J126" s="34"/>
      <c r="K126" s="36"/>
      <c r="L126" s="34"/>
      <c r="M126" s="34"/>
      <c r="N126" s="36"/>
      <c r="O126" s="34"/>
      <c r="P126" s="34"/>
      <c r="Q126" s="36"/>
      <c r="R126" s="34"/>
      <c r="S126" s="34"/>
      <c r="T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</row>
    <row r="127" spans="2:50" x14ac:dyDescent="0.3">
      <c r="B127" s="34"/>
      <c r="C127" s="34"/>
      <c r="D127" s="34"/>
      <c r="E127" s="34"/>
      <c r="F127" s="34"/>
      <c r="G127" s="34"/>
      <c r="H127" s="76"/>
      <c r="I127" s="34"/>
      <c r="J127" s="34"/>
      <c r="K127" s="36"/>
      <c r="L127" s="34"/>
      <c r="M127" s="34"/>
      <c r="N127" s="36"/>
      <c r="O127" s="34"/>
      <c r="P127" s="34"/>
      <c r="Q127" s="36"/>
      <c r="R127" s="34"/>
      <c r="S127" s="34"/>
      <c r="T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</row>
    <row r="128" spans="2:50" x14ac:dyDescent="0.3">
      <c r="B128" s="34"/>
      <c r="C128" s="34"/>
      <c r="D128" s="34"/>
      <c r="E128" s="34"/>
      <c r="F128" s="34"/>
      <c r="G128" s="34"/>
      <c r="H128" s="76"/>
      <c r="I128" s="34"/>
      <c r="J128" s="34"/>
      <c r="K128" s="36"/>
      <c r="L128" s="34"/>
      <c r="M128" s="34"/>
      <c r="N128" s="36"/>
      <c r="O128" s="34"/>
      <c r="P128" s="34"/>
      <c r="Q128" s="36"/>
      <c r="R128" s="34"/>
      <c r="S128" s="34"/>
      <c r="T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</row>
    <row r="129" spans="2:50" x14ac:dyDescent="0.3">
      <c r="B129" s="34"/>
      <c r="C129" s="34"/>
      <c r="D129" s="34"/>
      <c r="E129" s="34"/>
      <c r="F129" s="34"/>
      <c r="G129" s="34"/>
      <c r="H129" s="76"/>
      <c r="I129" s="34"/>
      <c r="J129" s="34"/>
      <c r="K129" s="36"/>
      <c r="L129" s="34"/>
      <c r="M129" s="34"/>
      <c r="N129" s="36"/>
      <c r="O129" s="34"/>
      <c r="P129" s="34"/>
      <c r="Q129" s="36"/>
      <c r="R129" s="34"/>
      <c r="S129" s="34"/>
      <c r="T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</row>
    <row r="130" spans="2:50" x14ac:dyDescent="0.3">
      <c r="B130" s="34"/>
      <c r="C130" s="34"/>
      <c r="D130" s="34"/>
      <c r="E130" s="34"/>
      <c r="F130" s="34"/>
      <c r="G130" s="34"/>
      <c r="H130" s="76"/>
      <c r="I130" s="34"/>
      <c r="J130" s="34"/>
      <c r="K130" s="36"/>
      <c r="L130" s="34"/>
      <c r="M130" s="34"/>
      <c r="N130" s="36"/>
      <c r="O130" s="34"/>
      <c r="P130" s="34"/>
      <c r="Q130" s="36"/>
      <c r="R130" s="34"/>
      <c r="S130" s="34"/>
      <c r="T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</row>
    <row r="131" spans="2:50" x14ac:dyDescent="0.3">
      <c r="B131" s="34"/>
      <c r="C131" s="34"/>
      <c r="D131" s="34"/>
      <c r="E131" s="34"/>
      <c r="F131" s="34"/>
      <c r="G131" s="34"/>
      <c r="H131" s="76"/>
      <c r="I131" s="34"/>
      <c r="J131" s="34"/>
      <c r="K131" s="36"/>
      <c r="L131" s="34"/>
      <c r="M131" s="34"/>
      <c r="N131" s="36"/>
      <c r="O131" s="34"/>
      <c r="P131" s="34"/>
      <c r="Q131" s="36"/>
      <c r="R131" s="34"/>
      <c r="S131" s="34"/>
      <c r="T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</row>
    <row r="132" spans="2:50" x14ac:dyDescent="0.3">
      <c r="B132" s="34"/>
      <c r="C132" s="34"/>
      <c r="D132" s="34"/>
      <c r="E132" s="34"/>
      <c r="F132" s="34"/>
      <c r="G132" s="34"/>
      <c r="H132" s="76"/>
      <c r="I132" s="34"/>
      <c r="J132" s="34"/>
      <c r="K132" s="36"/>
      <c r="L132" s="34"/>
      <c r="M132" s="34"/>
      <c r="N132" s="36"/>
      <c r="O132" s="34"/>
      <c r="P132" s="34"/>
      <c r="Q132" s="36"/>
      <c r="R132" s="34"/>
      <c r="S132" s="34"/>
      <c r="T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</row>
    <row r="133" spans="2:50" x14ac:dyDescent="0.3">
      <c r="B133" s="34"/>
      <c r="C133" s="34"/>
      <c r="D133" s="34"/>
      <c r="E133" s="34"/>
      <c r="F133" s="34"/>
      <c r="G133" s="34"/>
      <c r="H133" s="76"/>
      <c r="I133" s="34"/>
      <c r="J133" s="34"/>
      <c r="K133" s="36"/>
      <c r="L133" s="34"/>
      <c r="M133" s="34"/>
      <c r="N133" s="36"/>
      <c r="O133" s="34"/>
      <c r="P133" s="34"/>
      <c r="Q133" s="36"/>
      <c r="R133" s="34"/>
      <c r="S133" s="34"/>
      <c r="T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</row>
    <row r="134" spans="2:50" x14ac:dyDescent="0.3">
      <c r="B134" s="34"/>
      <c r="C134" s="34"/>
      <c r="D134" s="34"/>
      <c r="E134" s="34"/>
      <c r="F134" s="34"/>
      <c r="G134" s="34"/>
      <c r="H134" s="76"/>
      <c r="I134" s="34"/>
      <c r="J134" s="34"/>
      <c r="K134" s="36"/>
      <c r="L134" s="34"/>
      <c r="M134" s="34"/>
      <c r="N134" s="36"/>
      <c r="O134" s="34"/>
      <c r="P134" s="34"/>
      <c r="Q134" s="36"/>
      <c r="R134" s="34"/>
      <c r="S134" s="34"/>
      <c r="T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</row>
    <row r="135" spans="2:50" x14ac:dyDescent="0.3">
      <c r="B135" s="34"/>
      <c r="C135" s="34"/>
      <c r="D135" s="34"/>
      <c r="E135" s="34"/>
      <c r="F135" s="34"/>
      <c r="G135" s="34"/>
      <c r="H135" s="76"/>
      <c r="I135" s="34"/>
      <c r="J135" s="34"/>
      <c r="K135" s="36"/>
      <c r="L135" s="34"/>
      <c r="M135" s="34"/>
      <c r="N135" s="36"/>
      <c r="O135" s="34"/>
      <c r="P135" s="34"/>
      <c r="Q135" s="36"/>
      <c r="R135" s="34"/>
      <c r="S135" s="34"/>
      <c r="T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</row>
    <row r="136" spans="2:50" x14ac:dyDescent="0.3">
      <c r="B136" s="34"/>
      <c r="C136" s="34"/>
      <c r="D136" s="34"/>
      <c r="E136" s="34"/>
      <c r="F136" s="34"/>
      <c r="G136" s="34"/>
      <c r="H136" s="76"/>
      <c r="I136" s="34"/>
      <c r="J136" s="34"/>
      <c r="K136" s="36"/>
      <c r="L136" s="34"/>
      <c r="M136" s="34"/>
      <c r="N136" s="36"/>
      <c r="O136" s="34"/>
      <c r="P136" s="34"/>
      <c r="Q136" s="36"/>
      <c r="R136" s="34"/>
      <c r="S136" s="34"/>
      <c r="T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</row>
    <row r="137" spans="2:50" x14ac:dyDescent="0.3">
      <c r="B137" s="34"/>
      <c r="C137" s="34"/>
      <c r="D137" s="34"/>
      <c r="E137" s="34"/>
      <c r="F137" s="34"/>
      <c r="G137" s="34"/>
      <c r="H137" s="76"/>
      <c r="I137" s="34"/>
      <c r="J137" s="34"/>
      <c r="K137" s="36"/>
      <c r="L137" s="34"/>
      <c r="M137" s="34"/>
      <c r="N137" s="36"/>
      <c r="O137" s="34"/>
      <c r="P137" s="34"/>
      <c r="Q137" s="36"/>
      <c r="R137" s="34"/>
      <c r="S137" s="34"/>
      <c r="T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</row>
    <row r="138" spans="2:50" x14ac:dyDescent="0.3">
      <c r="B138" s="34"/>
      <c r="C138" s="34"/>
      <c r="D138" s="34"/>
      <c r="E138" s="34"/>
      <c r="F138" s="34"/>
      <c r="G138" s="34"/>
      <c r="H138" s="76"/>
      <c r="I138" s="34"/>
      <c r="J138" s="34"/>
      <c r="K138" s="36"/>
      <c r="L138" s="34"/>
      <c r="M138" s="34"/>
      <c r="N138" s="36"/>
      <c r="O138" s="34"/>
      <c r="P138" s="34"/>
      <c r="Q138" s="36"/>
      <c r="R138" s="34"/>
      <c r="S138" s="34"/>
      <c r="T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</row>
    <row r="139" spans="2:50" x14ac:dyDescent="0.3">
      <c r="B139" s="34"/>
      <c r="C139" s="34"/>
      <c r="D139" s="34"/>
      <c r="E139" s="34"/>
      <c r="F139" s="34"/>
      <c r="G139" s="34"/>
      <c r="H139" s="76"/>
      <c r="I139" s="34"/>
      <c r="J139" s="34"/>
      <c r="K139" s="36"/>
      <c r="L139" s="34"/>
      <c r="M139" s="34"/>
      <c r="N139" s="36"/>
      <c r="O139" s="34"/>
      <c r="P139" s="34"/>
      <c r="Q139" s="36"/>
      <c r="R139" s="34"/>
      <c r="S139" s="34"/>
      <c r="T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</row>
    <row r="140" spans="2:50" x14ac:dyDescent="0.3">
      <c r="B140" s="34"/>
      <c r="C140" s="34"/>
      <c r="D140" s="34"/>
      <c r="E140" s="34"/>
      <c r="F140" s="34"/>
      <c r="G140" s="34"/>
      <c r="H140" s="76"/>
      <c r="I140" s="34"/>
      <c r="J140" s="34"/>
      <c r="K140" s="36"/>
      <c r="L140" s="34"/>
      <c r="M140" s="34"/>
      <c r="N140" s="36"/>
      <c r="O140" s="34"/>
      <c r="P140" s="34"/>
      <c r="Q140" s="36"/>
      <c r="R140" s="34"/>
      <c r="S140" s="34"/>
      <c r="T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</row>
    <row r="141" spans="2:50" x14ac:dyDescent="0.3">
      <c r="B141" s="34"/>
      <c r="C141" s="34"/>
      <c r="D141" s="34"/>
      <c r="E141" s="34"/>
      <c r="F141" s="34"/>
      <c r="G141" s="34"/>
      <c r="H141" s="76"/>
      <c r="I141" s="34"/>
      <c r="J141" s="34"/>
      <c r="K141" s="36"/>
      <c r="L141" s="34"/>
      <c r="M141" s="34"/>
      <c r="N141" s="36"/>
      <c r="O141" s="34"/>
      <c r="P141" s="34"/>
      <c r="Q141" s="36"/>
      <c r="R141" s="34"/>
      <c r="S141" s="34"/>
      <c r="T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</row>
    <row r="142" spans="2:50" x14ac:dyDescent="0.3">
      <c r="B142" s="34"/>
      <c r="C142" s="34"/>
      <c r="D142" s="34"/>
      <c r="E142" s="34"/>
      <c r="F142" s="34"/>
      <c r="G142" s="34"/>
      <c r="H142" s="76"/>
      <c r="I142" s="34"/>
      <c r="J142" s="34"/>
      <c r="K142" s="36"/>
      <c r="L142" s="34"/>
      <c r="M142" s="34"/>
      <c r="N142" s="36"/>
      <c r="O142" s="34"/>
      <c r="P142" s="34"/>
      <c r="Q142" s="36"/>
      <c r="R142" s="34"/>
      <c r="S142" s="34"/>
      <c r="T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</row>
    <row r="143" spans="2:50" x14ac:dyDescent="0.3">
      <c r="B143" s="34"/>
      <c r="C143" s="34"/>
      <c r="D143" s="34"/>
      <c r="E143" s="34"/>
      <c r="F143" s="34"/>
      <c r="G143" s="34"/>
      <c r="H143" s="76"/>
      <c r="I143" s="34"/>
      <c r="J143" s="34"/>
      <c r="K143" s="36"/>
      <c r="L143" s="34"/>
      <c r="M143" s="34"/>
      <c r="N143" s="36"/>
      <c r="O143" s="34"/>
      <c r="P143" s="34"/>
      <c r="Q143" s="36"/>
      <c r="R143" s="34"/>
      <c r="S143" s="34"/>
      <c r="T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</row>
    <row r="144" spans="2:50" x14ac:dyDescent="0.3">
      <c r="B144" s="34"/>
      <c r="C144" s="34"/>
      <c r="D144" s="34"/>
      <c r="E144" s="34"/>
      <c r="F144" s="34"/>
      <c r="G144" s="34"/>
      <c r="H144" s="76"/>
      <c r="I144" s="34"/>
      <c r="J144" s="34"/>
      <c r="K144" s="36"/>
      <c r="L144" s="34"/>
      <c r="M144" s="34"/>
      <c r="N144" s="36"/>
      <c r="O144" s="34"/>
      <c r="P144" s="34"/>
      <c r="Q144" s="36"/>
      <c r="R144" s="34"/>
      <c r="S144" s="34"/>
      <c r="T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</row>
    <row r="145" spans="2:50" x14ac:dyDescent="0.3">
      <c r="B145" s="34"/>
      <c r="C145" s="34"/>
      <c r="D145" s="34"/>
      <c r="E145" s="34"/>
      <c r="F145" s="34"/>
      <c r="G145" s="34"/>
      <c r="H145" s="76"/>
      <c r="I145" s="34"/>
      <c r="J145" s="34"/>
      <c r="K145" s="36"/>
      <c r="L145" s="34"/>
      <c r="M145" s="34"/>
      <c r="N145" s="36"/>
      <c r="O145" s="34"/>
      <c r="P145" s="34"/>
      <c r="Q145" s="36"/>
      <c r="R145" s="34"/>
      <c r="S145" s="34"/>
      <c r="T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</row>
    <row r="146" spans="2:50" x14ac:dyDescent="0.3">
      <c r="B146" s="34"/>
      <c r="C146" s="34"/>
      <c r="D146" s="34"/>
      <c r="E146" s="34"/>
      <c r="F146" s="34"/>
      <c r="G146" s="34"/>
      <c r="H146" s="76"/>
      <c r="I146" s="34"/>
      <c r="J146" s="34"/>
      <c r="K146" s="36"/>
      <c r="L146" s="34"/>
      <c r="M146" s="34"/>
      <c r="N146" s="36"/>
      <c r="O146" s="34"/>
      <c r="P146" s="34"/>
      <c r="Q146" s="36"/>
      <c r="R146" s="34"/>
      <c r="S146" s="34"/>
      <c r="T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</row>
    <row r="147" spans="2:50" x14ac:dyDescent="0.3">
      <c r="B147" s="34"/>
      <c r="C147" s="34"/>
      <c r="D147" s="34"/>
      <c r="E147" s="34"/>
      <c r="F147" s="34"/>
      <c r="G147" s="34"/>
      <c r="H147" s="76"/>
      <c r="I147" s="34"/>
      <c r="J147" s="34"/>
      <c r="K147" s="36"/>
      <c r="L147" s="34"/>
      <c r="M147" s="34"/>
      <c r="N147" s="36"/>
      <c r="O147" s="34"/>
      <c r="P147" s="34"/>
      <c r="Q147" s="36"/>
      <c r="R147" s="34"/>
      <c r="S147" s="34"/>
      <c r="T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</row>
    <row r="148" spans="2:50" x14ac:dyDescent="0.3">
      <c r="B148" s="34"/>
      <c r="C148" s="34"/>
      <c r="D148" s="34"/>
      <c r="E148" s="34"/>
      <c r="F148" s="34"/>
      <c r="G148" s="34"/>
      <c r="H148" s="76"/>
      <c r="I148" s="34"/>
      <c r="J148" s="34"/>
      <c r="K148" s="36"/>
      <c r="L148" s="34"/>
      <c r="M148" s="34"/>
      <c r="N148" s="36"/>
      <c r="O148" s="34"/>
      <c r="P148" s="34"/>
      <c r="Q148" s="36"/>
      <c r="R148" s="34"/>
      <c r="S148" s="34"/>
      <c r="T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</row>
    <row r="149" spans="2:50" x14ac:dyDescent="0.3">
      <c r="B149" s="34"/>
      <c r="C149" s="34"/>
      <c r="D149" s="34"/>
      <c r="E149" s="34"/>
      <c r="F149" s="34"/>
      <c r="G149" s="34"/>
      <c r="H149" s="76"/>
      <c r="I149" s="34"/>
      <c r="J149" s="34"/>
      <c r="K149" s="36"/>
      <c r="L149" s="34"/>
      <c r="M149" s="34"/>
      <c r="N149" s="36"/>
      <c r="O149" s="34"/>
      <c r="P149" s="34"/>
      <c r="Q149" s="36"/>
      <c r="R149" s="34"/>
      <c r="S149" s="34"/>
      <c r="T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</row>
    <row r="150" spans="2:50" x14ac:dyDescent="0.3">
      <c r="B150" s="34"/>
      <c r="C150" s="34"/>
      <c r="D150" s="34"/>
      <c r="E150" s="34"/>
      <c r="F150" s="34"/>
      <c r="G150" s="34"/>
      <c r="H150" s="76"/>
      <c r="I150" s="34"/>
      <c r="J150" s="34"/>
      <c r="K150" s="36"/>
      <c r="L150" s="34"/>
      <c r="M150" s="34"/>
      <c r="N150" s="36"/>
      <c r="O150" s="34"/>
      <c r="P150" s="34"/>
      <c r="Q150" s="36"/>
      <c r="R150" s="34"/>
      <c r="S150" s="34"/>
      <c r="T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</row>
    <row r="151" spans="2:50" x14ac:dyDescent="0.3">
      <c r="B151" s="34"/>
      <c r="C151" s="34"/>
      <c r="D151" s="34"/>
      <c r="E151" s="34"/>
      <c r="F151" s="34"/>
      <c r="G151" s="34"/>
      <c r="H151" s="76"/>
      <c r="I151" s="34"/>
      <c r="J151" s="34"/>
      <c r="K151" s="36"/>
      <c r="L151" s="34"/>
      <c r="M151" s="34"/>
      <c r="N151" s="36"/>
      <c r="O151" s="34"/>
      <c r="P151" s="34"/>
      <c r="Q151" s="36"/>
      <c r="R151" s="34"/>
      <c r="S151" s="34"/>
      <c r="T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</row>
    <row r="152" spans="2:50" x14ac:dyDescent="0.3">
      <c r="B152" s="34"/>
      <c r="C152" s="34"/>
      <c r="D152" s="34"/>
      <c r="E152" s="34"/>
      <c r="F152" s="34"/>
      <c r="G152" s="34"/>
      <c r="H152" s="76"/>
      <c r="I152" s="34"/>
      <c r="J152" s="34"/>
      <c r="K152" s="36"/>
      <c r="L152" s="34"/>
      <c r="M152" s="34"/>
      <c r="N152" s="36"/>
      <c r="O152" s="34"/>
      <c r="P152" s="34"/>
      <c r="Q152" s="36"/>
      <c r="R152" s="34"/>
      <c r="S152" s="34"/>
      <c r="T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</row>
    <row r="153" spans="2:50" x14ac:dyDescent="0.3">
      <c r="B153" s="34"/>
      <c r="C153" s="34"/>
      <c r="D153" s="34"/>
      <c r="E153" s="34"/>
      <c r="F153" s="34"/>
      <c r="G153" s="34"/>
      <c r="H153" s="76"/>
      <c r="I153" s="34"/>
      <c r="J153" s="34"/>
      <c r="K153" s="36"/>
      <c r="L153" s="34"/>
      <c r="M153" s="34"/>
      <c r="N153" s="36"/>
      <c r="O153" s="34"/>
      <c r="P153" s="34"/>
      <c r="Q153" s="36"/>
      <c r="R153" s="34"/>
      <c r="S153" s="34"/>
      <c r="T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</row>
    <row r="154" spans="2:50" x14ac:dyDescent="0.3">
      <c r="B154" s="34"/>
      <c r="C154" s="34"/>
      <c r="D154" s="34"/>
      <c r="E154" s="34"/>
      <c r="F154" s="34"/>
      <c r="G154" s="34"/>
      <c r="H154" s="76"/>
      <c r="I154" s="34"/>
      <c r="J154" s="34"/>
      <c r="K154" s="36"/>
      <c r="L154" s="34"/>
      <c r="M154" s="34"/>
      <c r="N154" s="36"/>
      <c r="O154" s="34"/>
      <c r="P154" s="34"/>
      <c r="Q154" s="36"/>
      <c r="R154" s="34"/>
      <c r="S154" s="34"/>
      <c r="T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</row>
    <row r="155" spans="2:50" x14ac:dyDescent="0.3">
      <c r="B155" s="34"/>
      <c r="C155" s="34"/>
      <c r="D155" s="34"/>
      <c r="E155" s="34"/>
      <c r="F155" s="34"/>
      <c r="G155" s="34"/>
      <c r="H155" s="76"/>
      <c r="I155" s="34"/>
      <c r="J155" s="34"/>
      <c r="K155" s="36"/>
      <c r="L155" s="34"/>
      <c r="M155" s="34"/>
      <c r="N155" s="36"/>
      <c r="O155" s="34"/>
      <c r="P155" s="34"/>
      <c r="Q155" s="36"/>
      <c r="R155" s="34"/>
      <c r="S155" s="34"/>
      <c r="T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</row>
    <row r="156" spans="2:50" x14ac:dyDescent="0.3">
      <c r="B156" s="34"/>
      <c r="C156" s="34"/>
      <c r="D156" s="34"/>
      <c r="E156" s="34"/>
      <c r="F156" s="34"/>
      <c r="G156" s="34"/>
      <c r="H156" s="76"/>
      <c r="I156" s="34"/>
      <c r="J156" s="34"/>
      <c r="K156" s="36"/>
      <c r="L156" s="34"/>
      <c r="M156" s="34"/>
      <c r="N156" s="36"/>
      <c r="O156" s="34"/>
      <c r="P156" s="34"/>
      <c r="Q156" s="36"/>
      <c r="R156" s="34"/>
      <c r="S156" s="34"/>
      <c r="T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</row>
    <row r="157" spans="2:50" x14ac:dyDescent="0.3">
      <c r="B157" s="34"/>
      <c r="C157" s="34"/>
      <c r="D157" s="34"/>
      <c r="E157" s="34"/>
      <c r="F157" s="34"/>
      <c r="G157" s="34"/>
      <c r="H157" s="76"/>
      <c r="I157" s="34"/>
      <c r="J157" s="34"/>
      <c r="K157" s="36"/>
      <c r="L157" s="34"/>
      <c r="M157" s="34"/>
      <c r="N157" s="36"/>
      <c r="O157" s="34"/>
      <c r="P157" s="34"/>
      <c r="Q157" s="36"/>
      <c r="R157" s="34"/>
      <c r="S157" s="34"/>
      <c r="T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</row>
    <row r="158" spans="2:50" x14ac:dyDescent="0.3">
      <c r="B158" s="34"/>
      <c r="C158" s="34"/>
      <c r="D158" s="34"/>
      <c r="E158" s="34"/>
      <c r="F158" s="34"/>
      <c r="G158" s="34"/>
      <c r="H158" s="76"/>
      <c r="I158" s="34"/>
      <c r="J158" s="34"/>
      <c r="K158" s="36"/>
      <c r="L158" s="34"/>
      <c r="M158" s="34"/>
      <c r="N158" s="36"/>
      <c r="O158" s="34"/>
      <c r="P158" s="34"/>
      <c r="Q158" s="36"/>
      <c r="R158" s="34"/>
      <c r="S158" s="34"/>
      <c r="T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</row>
    <row r="159" spans="2:50" x14ac:dyDescent="0.3">
      <c r="B159" s="34"/>
      <c r="C159" s="34"/>
      <c r="D159" s="34"/>
      <c r="E159" s="34"/>
      <c r="F159" s="34"/>
      <c r="G159" s="34"/>
      <c r="H159" s="76"/>
      <c r="I159" s="34"/>
      <c r="J159" s="34"/>
      <c r="K159" s="36"/>
      <c r="L159" s="34"/>
      <c r="M159" s="34"/>
      <c r="N159" s="36"/>
      <c r="O159" s="34"/>
      <c r="P159" s="34"/>
      <c r="Q159" s="36"/>
      <c r="R159" s="34"/>
      <c r="S159" s="34"/>
      <c r="T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</row>
    <row r="160" spans="2:50" x14ac:dyDescent="0.3">
      <c r="B160" s="34"/>
      <c r="C160" s="34"/>
      <c r="D160" s="34"/>
      <c r="E160" s="34"/>
      <c r="F160" s="34"/>
      <c r="G160" s="34"/>
      <c r="H160" s="76"/>
      <c r="I160" s="34"/>
      <c r="J160" s="34"/>
      <c r="K160" s="36"/>
      <c r="L160" s="34"/>
      <c r="M160" s="34"/>
      <c r="N160" s="36"/>
      <c r="O160" s="34"/>
      <c r="P160" s="34"/>
      <c r="Q160" s="36"/>
      <c r="R160" s="34"/>
      <c r="S160" s="34"/>
      <c r="T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</row>
    <row r="161" spans="2:50" x14ac:dyDescent="0.3">
      <c r="B161" s="34"/>
      <c r="C161" s="34"/>
      <c r="D161" s="34"/>
      <c r="E161" s="34"/>
      <c r="F161" s="34"/>
      <c r="G161" s="34"/>
      <c r="H161" s="76"/>
      <c r="I161" s="34"/>
      <c r="J161" s="34"/>
      <c r="K161" s="36"/>
      <c r="L161" s="34"/>
      <c r="M161" s="34"/>
      <c r="N161" s="36"/>
      <c r="O161" s="34"/>
      <c r="P161" s="34"/>
      <c r="Q161" s="36"/>
      <c r="R161" s="34"/>
      <c r="S161" s="34"/>
      <c r="T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</row>
    <row r="162" spans="2:50" x14ac:dyDescent="0.3">
      <c r="B162" s="34"/>
      <c r="C162" s="34"/>
      <c r="D162" s="34"/>
      <c r="E162" s="34"/>
      <c r="F162" s="34"/>
      <c r="G162" s="34"/>
      <c r="H162" s="76"/>
      <c r="I162" s="34"/>
      <c r="J162" s="34"/>
      <c r="K162" s="36"/>
      <c r="L162" s="34"/>
      <c r="M162" s="34"/>
      <c r="N162" s="36"/>
      <c r="O162" s="34"/>
      <c r="P162" s="34"/>
      <c r="Q162" s="36"/>
      <c r="R162" s="34"/>
      <c r="S162" s="34"/>
      <c r="T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</row>
    <row r="163" spans="2:50" x14ac:dyDescent="0.3">
      <c r="B163" s="34"/>
      <c r="C163" s="34"/>
      <c r="D163" s="34"/>
      <c r="E163" s="34"/>
      <c r="F163" s="34"/>
      <c r="G163" s="34"/>
      <c r="H163" s="76"/>
      <c r="I163" s="34"/>
      <c r="J163" s="34"/>
      <c r="K163" s="36"/>
      <c r="L163" s="34"/>
      <c r="M163" s="34"/>
      <c r="N163" s="36"/>
      <c r="O163" s="34"/>
      <c r="P163" s="34"/>
      <c r="Q163" s="36"/>
      <c r="R163" s="34"/>
      <c r="S163" s="34"/>
      <c r="T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</row>
    <row r="164" spans="2:50" x14ac:dyDescent="0.3">
      <c r="B164" s="34"/>
      <c r="C164" s="34"/>
      <c r="D164" s="34"/>
      <c r="E164" s="34"/>
      <c r="F164" s="34"/>
      <c r="G164" s="34"/>
      <c r="H164" s="76"/>
      <c r="I164" s="34"/>
      <c r="J164" s="34"/>
      <c r="K164" s="36"/>
      <c r="L164" s="34"/>
      <c r="M164" s="34"/>
      <c r="N164" s="36"/>
      <c r="O164" s="34"/>
      <c r="P164" s="34"/>
      <c r="Q164" s="36"/>
      <c r="R164" s="34"/>
      <c r="S164" s="34"/>
      <c r="T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</row>
    <row r="165" spans="2:50" x14ac:dyDescent="0.3">
      <c r="B165" s="34"/>
      <c r="C165" s="34"/>
      <c r="D165" s="34"/>
      <c r="E165" s="34"/>
      <c r="F165" s="34"/>
      <c r="G165" s="34"/>
      <c r="H165" s="76"/>
      <c r="I165" s="34"/>
      <c r="J165" s="34"/>
      <c r="K165" s="36"/>
      <c r="L165" s="34"/>
      <c r="M165" s="34"/>
      <c r="N165" s="36"/>
      <c r="O165" s="34"/>
      <c r="P165" s="34"/>
      <c r="Q165" s="36"/>
      <c r="R165" s="34"/>
      <c r="S165" s="34"/>
      <c r="T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</row>
    <row r="166" spans="2:50" x14ac:dyDescent="0.3">
      <c r="B166" s="34"/>
      <c r="C166" s="34"/>
      <c r="D166" s="34"/>
      <c r="E166" s="34"/>
      <c r="F166" s="34"/>
      <c r="G166" s="34"/>
      <c r="H166" s="76"/>
      <c r="I166" s="34"/>
      <c r="J166" s="34"/>
      <c r="K166" s="36"/>
      <c r="L166" s="34"/>
      <c r="M166" s="34"/>
      <c r="N166" s="36"/>
      <c r="O166" s="34"/>
      <c r="P166" s="34"/>
      <c r="Q166" s="36"/>
      <c r="R166" s="34"/>
      <c r="S166" s="34"/>
      <c r="T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</row>
    <row r="167" spans="2:50" x14ac:dyDescent="0.3">
      <c r="B167" s="34"/>
      <c r="C167" s="34"/>
      <c r="D167" s="34"/>
      <c r="E167" s="34"/>
      <c r="F167" s="34"/>
      <c r="G167" s="34"/>
      <c r="H167" s="76"/>
      <c r="I167" s="34"/>
      <c r="J167" s="34"/>
      <c r="K167" s="36"/>
      <c r="L167" s="34"/>
      <c r="M167" s="34"/>
      <c r="N167" s="36"/>
      <c r="O167" s="34"/>
      <c r="P167" s="34"/>
      <c r="Q167" s="36"/>
      <c r="R167" s="34"/>
      <c r="S167" s="34"/>
      <c r="T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</row>
    <row r="168" spans="2:50" x14ac:dyDescent="0.3">
      <c r="B168" s="34"/>
      <c r="C168" s="34"/>
      <c r="D168" s="34"/>
      <c r="E168" s="34"/>
      <c r="F168" s="34"/>
      <c r="G168" s="34"/>
      <c r="H168" s="76"/>
      <c r="I168" s="34"/>
      <c r="J168" s="34"/>
      <c r="K168" s="36"/>
      <c r="L168" s="34"/>
      <c r="M168" s="34"/>
      <c r="N168" s="36"/>
      <c r="O168" s="34"/>
      <c r="P168" s="34"/>
      <c r="Q168" s="36"/>
      <c r="R168" s="34"/>
      <c r="S168" s="34"/>
      <c r="T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</row>
    <row r="169" spans="2:50" x14ac:dyDescent="0.3">
      <c r="B169" s="34"/>
      <c r="C169" s="34"/>
      <c r="D169" s="34"/>
      <c r="E169" s="34"/>
      <c r="F169" s="34"/>
      <c r="G169" s="34"/>
      <c r="H169" s="76"/>
      <c r="I169" s="34"/>
      <c r="J169" s="34"/>
      <c r="K169" s="36"/>
      <c r="L169" s="34"/>
      <c r="M169" s="34"/>
      <c r="N169" s="36"/>
      <c r="O169" s="34"/>
      <c r="P169" s="34"/>
      <c r="Q169" s="36"/>
      <c r="R169" s="34"/>
      <c r="S169" s="34"/>
      <c r="T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</row>
    <row r="170" spans="2:50" x14ac:dyDescent="0.3">
      <c r="B170" s="34"/>
      <c r="C170" s="34"/>
      <c r="D170" s="34"/>
      <c r="E170" s="34"/>
      <c r="F170" s="34"/>
      <c r="G170" s="34"/>
      <c r="H170" s="76"/>
      <c r="I170" s="34"/>
      <c r="J170" s="34"/>
      <c r="K170" s="36"/>
      <c r="L170" s="34"/>
      <c r="M170" s="34"/>
      <c r="N170" s="36"/>
      <c r="O170" s="34"/>
      <c r="P170" s="34"/>
      <c r="Q170" s="36"/>
      <c r="R170" s="34"/>
      <c r="S170" s="34"/>
      <c r="T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</row>
    <row r="171" spans="2:50" x14ac:dyDescent="0.3">
      <c r="B171" s="34"/>
      <c r="C171" s="34"/>
      <c r="D171" s="34"/>
      <c r="E171" s="34"/>
      <c r="F171" s="34"/>
      <c r="G171" s="34"/>
      <c r="H171" s="76"/>
      <c r="I171" s="34"/>
      <c r="J171" s="34"/>
      <c r="K171" s="36"/>
      <c r="L171" s="34"/>
      <c r="M171" s="34"/>
      <c r="N171" s="36"/>
      <c r="O171" s="34"/>
      <c r="P171" s="34"/>
      <c r="Q171" s="36"/>
      <c r="R171" s="34"/>
      <c r="S171" s="34"/>
      <c r="T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</row>
    <row r="172" spans="2:50" x14ac:dyDescent="0.3">
      <c r="B172" s="34"/>
      <c r="C172" s="34"/>
      <c r="D172" s="34"/>
      <c r="E172" s="34"/>
      <c r="F172" s="34"/>
      <c r="G172" s="34"/>
      <c r="H172" s="76"/>
      <c r="I172" s="34"/>
      <c r="J172" s="34"/>
      <c r="K172" s="36"/>
      <c r="L172" s="34"/>
      <c r="M172" s="34"/>
      <c r="N172" s="36"/>
      <c r="O172" s="34"/>
      <c r="P172" s="34"/>
      <c r="Q172" s="36"/>
      <c r="R172" s="34"/>
      <c r="S172" s="34"/>
      <c r="T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</row>
    <row r="173" spans="2:50" x14ac:dyDescent="0.3">
      <c r="B173" s="34"/>
      <c r="C173" s="34"/>
      <c r="D173" s="34"/>
      <c r="E173" s="34"/>
      <c r="F173" s="34"/>
      <c r="G173" s="34"/>
      <c r="H173" s="76"/>
      <c r="I173" s="34"/>
      <c r="J173" s="34"/>
      <c r="K173" s="36"/>
      <c r="L173" s="34"/>
      <c r="M173" s="34"/>
      <c r="N173" s="36"/>
      <c r="O173" s="34"/>
      <c r="P173" s="34"/>
      <c r="Q173" s="36"/>
      <c r="R173" s="34"/>
      <c r="S173" s="34"/>
      <c r="T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</row>
    <row r="174" spans="2:50" x14ac:dyDescent="0.3">
      <c r="B174" s="34"/>
      <c r="C174" s="34"/>
      <c r="D174" s="34"/>
      <c r="E174" s="34"/>
      <c r="F174" s="34"/>
      <c r="G174" s="34"/>
      <c r="H174" s="76"/>
      <c r="I174" s="34"/>
      <c r="J174" s="34"/>
      <c r="K174" s="36"/>
      <c r="L174" s="34"/>
      <c r="M174" s="34"/>
      <c r="N174" s="36"/>
      <c r="O174" s="34"/>
      <c r="P174" s="34"/>
      <c r="Q174" s="36"/>
      <c r="R174" s="34"/>
      <c r="S174" s="34"/>
      <c r="T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</row>
    <row r="175" spans="2:50" x14ac:dyDescent="0.3">
      <c r="B175" s="34"/>
      <c r="C175" s="34"/>
      <c r="D175" s="34"/>
      <c r="E175" s="34"/>
      <c r="F175" s="34"/>
      <c r="G175" s="34"/>
      <c r="H175" s="76"/>
      <c r="I175" s="34"/>
      <c r="J175" s="34"/>
      <c r="K175" s="36"/>
      <c r="L175" s="34"/>
      <c r="M175" s="34"/>
      <c r="N175" s="36"/>
      <c r="O175" s="34"/>
      <c r="P175" s="34"/>
      <c r="Q175" s="36"/>
      <c r="R175" s="34"/>
      <c r="S175" s="34"/>
      <c r="T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</row>
    <row r="176" spans="2:50" x14ac:dyDescent="0.3">
      <c r="B176" s="34"/>
      <c r="C176" s="34"/>
      <c r="D176" s="34"/>
      <c r="E176" s="34"/>
      <c r="F176" s="34"/>
      <c r="G176" s="34"/>
      <c r="H176" s="76"/>
      <c r="I176" s="34"/>
      <c r="J176" s="34"/>
      <c r="K176" s="36"/>
      <c r="L176" s="34"/>
      <c r="M176" s="34"/>
      <c r="N176" s="36"/>
      <c r="O176" s="34"/>
      <c r="P176" s="34"/>
      <c r="Q176" s="36"/>
      <c r="R176" s="34"/>
      <c r="S176" s="34"/>
      <c r="T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</row>
    <row r="177" spans="2:50" x14ac:dyDescent="0.3">
      <c r="B177" s="34"/>
      <c r="C177" s="34"/>
      <c r="D177" s="34"/>
      <c r="E177" s="34"/>
      <c r="F177" s="34"/>
      <c r="G177" s="34"/>
      <c r="H177" s="76"/>
      <c r="I177" s="34"/>
      <c r="J177" s="34"/>
      <c r="K177" s="36"/>
      <c r="L177" s="34"/>
      <c r="M177" s="34"/>
      <c r="N177" s="36"/>
      <c r="O177" s="34"/>
      <c r="P177" s="34"/>
      <c r="Q177" s="36"/>
      <c r="R177" s="34"/>
      <c r="S177" s="34"/>
      <c r="T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</row>
    <row r="178" spans="2:50" x14ac:dyDescent="0.3">
      <c r="B178" s="34"/>
      <c r="C178" s="34"/>
      <c r="D178" s="34"/>
      <c r="E178" s="34"/>
      <c r="F178" s="34"/>
      <c r="G178" s="34"/>
      <c r="H178" s="76"/>
      <c r="I178" s="34"/>
      <c r="J178" s="34"/>
      <c r="K178" s="36"/>
      <c r="L178" s="34"/>
      <c r="M178" s="34"/>
      <c r="N178" s="36"/>
      <c r="O178" s="34"/>
      <c r="P178" s="34"/>
      <c r="Q178" s="36"/>
      <c r="R178" s="34"/>
      <c r="S178" s="34"/>
      <c r="T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</row>
    <row r="179" spans="2:50" x14ac:dyDescent="0.3">
      <c r="B179" s="34"/>
      <c r="C179" s="34"/>
      <c r="D179" s="34"/>
      <c r="E179" s="34"/>
      <c r="F179" s="34"/>
      <c r="G179" s="34"/>
      <c r="H179" s="76"/>
      <c r="I179" s="34"/>
      <c r="J179" s="34"/>
      <c r="K179" s="36"/>
      <c r="L179" s="34"/>
      <c r="M179" s="34"/>
      <c r="N179" s="36"/>
      <c r="O179" s="34"/>
      <c r="P179" s="34"/>
      <c r="Q179" s="36"/>
      <c r="R179" s="34"/>
      <c r="S179" s="34"/>
      <c r="T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</row>
    <row r="180" spans="2:50" x14ac:dyDescent="0.3">
      <c r="B180" s="34"/>
      <c r="C180" s="34"/>
      <c r="D180" s="34"/>
      <c r="E180" s="34"/>
      <c r="F180" s="34"/>
      <c r="G180" s="34"/>
      <c r="H180" s="76"/>
      <c r="I180" s="34"/>
      <c r="J180" s="34"/>
      <c r="K180" s="36"/>
      <c r="L180" s="34"/>
      <c r="M180" s="34"/>
      <c r="N180" s="36"/>
      <c r="O180" s="34"/>
      <c r="P180" s="34"/>
      <c r="Q180" s="36"/>
      <c r="R180" s="34"/>
      <c r="S180" s="34"/>
      <c r="T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</row>
    <row r="181" spans="2:50" x14ac:dyDescent="0.3">
      <c r="B181" s="34"/>
      <c r="C181" s="34"/>
      <c r="D181" s="34"/>
      <c r="E181" s="34"/>
      <c r="F181" s="34"/>
      <c r="G181" s="34"/>
      <c r="H181" s="76"/>
      <c r="I181" s="34"/>
      <c r="J181" s="34"/>
      <c r="K181" s="36"/>
      <c r="L181" s="34"/>
      <c r="M181" s="34"/>
      <c r="N181" s="36"/>
      <c r="O181" s="34"/>
      <c r="P181" s="34"/>
      <c r="Q181" s="36"/>
      <c r="R181" s="34"/>
      <c r="S181" s="34"/>
      <c r="T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</row>
    <row r="182" spans="2:50" x14ac:dyDescent="0.3">
      <c r="B182" s="34"/>
      <c r="C182" s="34"/>
      <c r="D182" s="34"/>
      <c r="E182" s="34"/>
      <c r="F182" s="34"/>
      <c r="G182" s="34"/>
      <c r="H182" s="76"/>
      <c r="I182" s="34"/>
      <c r="J182" s="34"/>
      <c r="K182" s="36"/>
      <c r="L182" s="34"/>
      <c r="M182" s="34"/>
      <c r="N182" s="36"/>
      <c r="O182" s="34"/>
      <c r="P182" s="34"/>
      <c r="Q182" s="36"/>
      <c r="R182" s="34"/>
      <c r="S182" s="34"/>
      <c r="T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</row>
    <row r="183" spans="2:50" x14ac:dyDescent="0.3">
      <c r="B183" s="34"/>
      <c r="C183" s="34"/>
      <c r="D183" s="34"/>
      <c r="E183" s="34"/>
      <c r="F183" s="34"/>
      <c r="G183" s="34"/>
      <c r="H183" s="76"/>
      <c r="I183" s="34"/>
      <c r="J183" s="34"/>
      <c r="K183" s="36"/>
      <c r="L183" s="34"/>
      <c r="M183" s="34"/>
      <c r="N183" s="36"/>
      <c r="O183" s="34"/>
      <c r="P183" s="34"/>
      <c r="Q183" s="36"/>
      <c r="R183" s="34"/>
      <c r="S183" s="34"/>
      <c r="T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</row>
    <row r="184" spans="2:50" x14ac:dyDescent="0.3">
      <c r="B184" s="34"/>
      <c r="C184" s="34"/>
      <c r="D184" s="34"/>
      <c r="E184" s="34"/>
      <c r="F184" s="34"/>
      <c r="G184" s="34"/>
      <c r="H184" s="76"/>
      <c r="I184" s="34"/>
      <c r="J184" s="34"/>
      <c r="K184" s="36"/>
      <c r="L184" s="34"/>
      <c r="M184" s="34"/>
      <c r="N184" s="36"/>
      <c r="O184" s="34"/>
      <c r="P184" s="34"/>
      <c r="Q184" s="36"/>
      <c r="R184" s="34"/>
      <c r="S184" s="34"/>
      <c r="T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</row>
    <row r="185" spans="2:50" x14ac:dyDescent="0.3">
      <c r="B185" s="34"/>
      <c r="C185" s="34"/>
      <c r="D185" s="34"/>
      <c r="E185" s="34"/>
      <c r="F185" s="34"/>
      <c r="G185" s="34"/>
      <c r="H185" s="76"/>
      <c r="I185" s="34"/>
      <c r="J185" s="34"/>
      <c r="K185" s="36"/>
      <c r="L185" s="34"/>
      <c r="M185" s="34"/>
      <c r="N185" s="36"/>
      <c r="O185" s="34"/>
      <c r="P185" s="34"/>
      <c r="Q185" s="36"/>
      <c r="R185" s="34"/>
      <c r="S185" s="34"/>
      <c r="T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</row>
    <row r="186" spans="2:50" x14ac:dyDescent="0.3">
      <c r="B186" s="34"/>
      <c r="C186" s="34"/>
      <c r="D186" s="34"/>
      <c r="E186" s="34"/>
      <c r="F186" s="34"/>
      <c r="G186" s="34"/>
      <c r="H186" s="76"/>
      <c r="I186" s="34"/>
      <c r="J186" s="34"/>
      <c r="K186" s="36"/>
      <c r="L186" s="34"/>
      <c r="M186" s="34"/>
      <c r="N186" s="36"/>
      <c r="O186" s="34"/>
      <c r="P186" s="34"/>
      <c r="Q186" s="36"/>
      <c r="R186" s="34"/>
      <c r="S186" s="34"/>
      <c r="T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</row>
    <row r="187" spans="2:50" x14ac:dyDescent="0.3">
      <c r="B187" s="34"/>
      <c r="C187" s="34"/>
      <c r="D187" s="34"/>
      <c r="E187" s="34"/>
      <c r="F187" s="34"/>
      <c r="G187" s="34"/>
      <c r="H187" s="76"/>
      <c r="I187" s="34"/>
      <c r="J187" s="34"/>
      <c r="K187" s="36"/>
      <c r="L187" s="34"/>
      <c r="M187" s="34"/>
      <c r="N187" s="36"/>
      <c r="O187" s="34"/>
      <c r="P187" s="34"/>
      <c r="Q187" s="36"/>
      <c r="R187" s="34"/>
      <c r="S187" s="34"/>
      <c r="T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</row>
    <row r="188" spans="2:50" x14ac:dyDescent="0.3">
      <c r="B188" s="34"/>
      <c r="C188" s="34"/>
      <c r="D188" s="34"/>
      <c r="E188" s="34"/>
      <c r="F188" s="34"/>
      <c r="G188" s="34"/>
      <c r="H188" s="76"/>
      <c r="I188" s="34"/>
      <c r="J188" s="34"/>
      <c r="K188" s="36"/>
      <c r="L188" s="34"/>
      <c r="M188" s="34"/>
      <c r="N188" s="36"/>
      <c r="O188" s="34"/>
      <c r="P188" s="34"/>
      <c r="Q188" s="36"/>
      <c r="R188" s="34"/>
      <c r="S188" s="34"/>
      <c r="T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</row>
    <row r="189" spans="2:50" x14ac:dyDescent="0.3">
      <c r="B189" s="34"/>
      <c r="C189" s="34"/>
      <c r="D189" s="34"/>
      <c r="E189" s="34"/>
      <c r="F189" s="34"/>
      <c r="G189" s="34"/>
      <c r="H189" s="76"/>
      <c r="I189" s="34"/>
      <c r="J189" s="34"/>
      <c r="K189" s="36"/>
      <c r="L189" s="34"/>
      <c r="M189" s="34"/>
      <c r="N189" s="36"/>
      <c r="O189" s="34"/>
      <c r="P189" s="34"/>
      <c r="Q189" s="36"/>
      <c r="R189" s="34"/>
      <c r="S189" s="34"/>
      <c r="T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</row>
    <row r="190" spans="2:50" x14ac:dyDescent="0.3">
      <c r="B190" s="34"/>
      <c r="C190" s="34"/>
      <c r="D190" s="34"/>
      <c r="E190" s="34"/>
      <c r="F190" s="34"/>
      <c r="G190" s="34"/>
      <c r="H190" s="76"/>
      <c r="I190" s="34"/>
      <c r="J190" s="34"/>
      <c r="K190" s="36"/>
      <c r="L190" s="34"/>
      <c r="M190" s="34"/>
      <c r="N190" s="36"/>
      <c r="O190" s="34"/>
      <c r="P190" s="34"/>
      <c r="Q190" s="36"/>
      <c r="R190" s="34"/>
      <c r="S190" s="34"/>
      <c r="T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</row>
    <row r="191" spans="2:50" x14ac:dyDescent="0.3">
      <c r="B191" s="34"/>
      <c r="C191" s="34"/>
      <c r="D191" s="34"/>
      <c r="E191" s="34"/>
      <c r="F191" s="34"/>
      <c r="G191" s="34"/>
      <c r="H191" s="76"/>
      <c r="I191" s="34"/>
      <c r="J191" s="34"/>
      <c r="K191" s="36"/>
      <c r="L191" s="34"/>
      <c r="M191" s="34"/>
      <c r="N191" s="36"/>
      <c r="O191" s="34"/>
      <c r="P191" s="34"/>
      <c r="Q191" s="36"/>
      <c r="R191" s="34"/>
      <c r="S191" s="34"/>
      <c r="T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</row>
    <row r="192" spans="2:50" x14ac:dyDescent="0.3">
      <c r="B192" s="34"/>
      <c r="C192" s="34"/>
      <c r="D192" s="34"/>
      <c r="E192" s="34"/>
      <c r="F192" s="34"/>
      <c r="G192" s="34"/>
      <c r="H192" s="76"/>
      <c r="I192" s="34"/>
      <c r="J192" s="34"/>
      <c r="K192" s="36"/>
      <c r="L192" s="34"/>
      <c r="M192" s="34"/>
      <c r="N192" s="36"/>
      <c r="O192" s="34"/>
      <c r="P192" s="34"/>
      <c r="Q192" s="36"/>
      <c r="R192" s="34"/>
      <c r="S192" s="34"/>
      <c r="T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</row>
    <row r="193" spans="2:50" x14ac:dyDescent="0.3">
      <c r="B193" s="34"/>
      <c r="C193" s="34"/>
      <c r="D193" s="34"/>
      <c r="E193" s="34"/>
      <c r="F193" s="34"/>
      <c r="G193" s="34"/>
      <c r="H193" s="76"/>
      <c r="I193" s="34"/>
      <c r="J193" s="34"/>
      <c r="K193" s="36"/>
      <c r="L193" s="34"/>
      <c r="M193" s="34"/>
      <c r="N193" s="36"/>
      <c r="O193" s="34"/>
      <c r="P193" s="34"/>
      <c r="Q193" s="36"/>
      <c r="R193" s="34"/>
      <c r="S193" s="34"/>
      <c r="T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</row>
    <row r="194" spans="2:50" x14ac:dyDescent="0.3">
      <c r="B194" s="34"/>
      <c r="C194" s="34"/>
      <c r="D194" s="34"/>
      <c r="E194" s="34"/>
      <c r="F194" s="34"/>
      <c r="G194" s="34"/>
      <c r="H194" s="76"/>
      <c r="I194" s="34"/>
      <c r="J194" s="34"/>
      <c r="K194" s="36"/>
      <c r="L194" s="34"/>
      <c r="M194" s="34"/>
      <c r="N194" s="36"/>
      <c r="O194" s="34"/>
      <c r="P194" s="34"/>
      <c r="Q194" s="36"/>
      <c r="R194" s="34"/>
      <c r="S194" s="34"/>
      <c r="T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</row>
    <row r="195" spans="2:50" x14ac:dyDescent="0.3">
      <c r="B195" s="34"/>
      <c r="C195" s="34"/>
      <c r="D195" s="34"/>
      <c r="E195" s="34"/>
      <c r="F195" s="34"/>
      <c r="G195" s="34"/>
      <c r="H195" s="76"/>
      <c r="I195" s="34"/>
      <c r="J195" s="34"/>
      <c r="K195" s="36"/>
      <c r="L195" s="34"/>
      <c r="M195" s="34"/>
      <c r="N195" s="36"/>
      <c r="O195" s="34"/>
      <c r="P195" s="34"/>
      <c r="Q195" s="36"/>
      <c r="R195" s="34"/>
      <c r="S195" s="34"/>
      <c r="T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</row>
    <row r="196" spans="2:50" x14ac:dyDescent="0.3">
      <c r="B196" s="34"/>
      <c r="C196" s="34"/>
      <c r="D196" s="34"/>
      <c r="E196" s="34"/>
      <c r="F196" s="34"/>
      <c r="G196" s="34"/>
      <c r="H196" s="76"/>
      <c r="I196" s="34"/>
      <c r="J196" s="34"/>
      <c r="K196" s="36"/>
      <c r="L196" s="34"/>
      <c r="M196" s="34"/>
      <c r="N196" s="36"/>
      <c r="O196" s="34"/>
      <c r="P196" s="34"/>
      <c r="Q196" s="36"/>
      <c r="R196" s="34"/>
      <c r="S196" s="34"/>
      <c r="T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</row>
    <row r="197" spans="2:50" x14ac:dyDescent="0.3">
      <c r="B197" s="34"/>
      <c r="C197" s="34"/>
      <c r="D197" s="34"/>
      <c r="E197" s="34"/>
      <c r="F197" s="34"/>
      <c r="G197" s="34"/>
      <c r="H197" s="76"/>
      <c r="I197" s="34"/>
      <c r="J197" s="34"/>
      <c r="K197" s="36"/>
      <c r="L197" s="34"/>
      <c r="M197" s="34"/>
      <c r="N197" s="36"/>
      <c r="O197" s="34"/>
      <c r="P197" s="34"/>
      <c r="Q197" s="36"/>
      <c r="R197" s="34"/>
      <c r="S197" s="34"/>
      <c r="T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</row>
    <row r="198" spans="2:50" x14ac:dyDescent="0.3">
      <c r="B198" s="34"/>
      <c r="C198" s="34"/>
      <c r="D198" s="34"/>
      <c r="E198" s="34"/>
      <c r="F198" s="34"/>
      <c r="G198" s="34"/>
      <c r="H198" s="76"/>
      <c r="I198" s="34"/>
      <c r="J198" s="34"/>
      <c r="K198" s="36"/>
      <c r="L198" s="34"/>
      <c r="M198" s="34"/>
      <c r="N198" s="36"/>
      <c r="O198" s="34"/>
      <c r="P198" s="34"/>
      <c r="Q198" s="36"/>
      <c r="R198" s="34"/>
      <c r="S198" s="34"/>
      <c r="T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</row>
    <row r="199" spans="2:50" x14ac:dyDescent="0.3">
      <c r="B199" s="34"/>
      <c r="C199" s="34"/>
      <c r="D199" s="34"/>
      <c r="E199" s="34"/>
      <c r="F199" s="34"/>
      <c r="G199" s="34"/>
      <c r="H199" s="76"/>
      <c r="I199" s="34"/>
      <c r="J199" s="34"/>
      <c r="K199" s="36"/>
      <c r="L199" s="34"/>
      <c r="M199" s="34"/>
      <c r="N199" s="36"/>
      <c r="O199" s="34"/>
      <c r="P199" s="34"/>
      <c r="Q199" s="36"/>
      <c r="R199" s="34"/>
      <c r="S199" s="34"/>
      <c r="T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</row>
    <row r="200" spans="2:50" x14ac:dyDescent="0.3">
      <c r="B200" s="34"/>
      <c r="C200" s="34"/>
      <c r="D200" s="34"/>
      <c r="E200" s="34"/>
      <c r="F200" s="34"/>
      <c r="G200" s="34"/>
      <c r="H200" s="76"/>
      <c r="I200" s="34"/>
      <c r="J200" s="34"/>
      <c r="K200" s="36"/>
      <c r="L200" s="34"/>
      <c r="M200" s="34"/>
      <c r="N200" s="36"/>
      <c r="O200" s="34"/>
      <c r="P200" s="34"/>
      <c r="Q200" s="36"/>
      <c r="R200" s="34"/>
      <c r="S200" s="34"/>
      <c r="T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</row>
    <row r="201" spans="2:50" x14ac:dyDescent="0.3">
      <c r="B201" s="34"/>
      <c r="C201" s="34"/>
      <c r="D201" s="34"/>
      <c r="E201" s="34"/>
      <c r="F201" s="34"/>
      <c r="G201" s="34"/>
      <c r="H201" s="76"/>
      <c r="I201" s="34"/>
      <c r="J201" s="34"/>
      <c r="K201" s="36"/>
      <c r="L201" s="34"/>
      <c r="M201" s="34"/>
      <c r="N201" s="36"/>
      <c r="O201" s="34"/>
      <c r="P201" s="34"/>
      <c r="Q201" s="36"/>
      <c r="R201" s="34"/>
      <c r="S201" s="34"/>
      <c r="T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</row>
    <row r="202" spans="2:50" x14ac:dyDescent="0.3">
      <c r="B202" s="34"/>
      <c r="C202" s="34"/>
      <c r="D202" s="34"/>
      <c r="E202" s="34"/>
      <c r="F202" s="34"/>
      <c r="G202" s="34"/>
      <c r="H202" s="76"/>
      <c r="I202" s="34"/>
      <c r="J202" s="34"/>
      <c r="K202" s="36"/>
      <c r="L202" s="34"/>
      <c r="M202" s="34"/>
      <c r="N202" s="36"/>
      <c r="O202" s="34"/>
      <c r="P202" s="34"/>
      <c r="Q202" s="36"/>
      <c r="R202" s="34"/>
      <c r="S202" s="34"/>
      <c r="T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</row>
    <row r="203" spans="2:50" x14ac:dyDescent="0.3">
      <c r="B203" s="34"/>
      <c r="C203" s="34"/>
      <c r="D203" s="34"/>
      <c r="E203" s="34"/>
      <c r="F203" s="34"/>
      <c r="G203" s="34"/>
      <c r="H203" s="76"/>
      <c r="I203" s="34"/>
      <c r="J203" s="34"/>
      <c r="K203" s="36"/>
      <c r="L203" s="34"/>
      <c r="M203" s="34"/>
      <c r="N203" s="36"/>
      <c r="O203" s="34"/>
      <c r="P203" s="34"/>
      <c r="Q203" s="36"/>
      <c r="R203" s="34"/>
      <c r="S203" s="34"/>
      <c r="T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</row>
    <row r="204" spans="2:50" x14ac:dyDescent="0.3">
      <c r="B204" s="34"/>
      <c r="C204" s="34"/>
      <c r="D204" s="34"/>
      <c r="E204" s="34"/>
      <c r="F204" s="34"/>
      <c r="G204" s="34"/>
      <c r="H204" s="76"/>
      <c r="I204" s="34"/>
      <c r="J204" s="34"/>
      <c r="K204" s="36"/>
      <c r="L204" s="34"/>
      <c r="M204" s="34"/>
      <c r="N204" s="36"/>
      <c r="O204" s="34"/>
      <c r="P204" s="34"/>
      <c r="Q204" s="36"/>
      <c r="R204" s="34"/>
      <c r="S204" s="34"/>
      <c r="T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</row>
    <row r="205" spans="2:50" x14ac:dyDescent="0.3">
      <c r="B205" s="34"/>
      <c r="C205" s="34"/>
      <c r="D205" s="34"/>
      <c r="E205" s="34"/>
      <c r="F205" s="34"/>
      <c r="G205" s="34"/>
      <c r="H205" s="76"/>
      <c r="I205" s="34"/>
      <c r="J205" s="34"/>
      <c r="K205" s="36"/>
      <c r="L205" s="34"/>
      <c r="M205" s="34"/>
      <c r="N205" s="36"/>
      <c r="O205" s="34"/>
      <c r="P205" s="34"/>
      <c r="Q205" s="36"/>
      <c r="R205" s="34"/>
      <c r="S205" s="34"/>
      <c r="T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</row>
    <row r="206" spans="2:50" x14ac:dyDescent="0.3">
      <c r="B206" s="34"/>
      <c r="C206" s="34"/>
      <c r="D206" s="34"/>
      <c r="E206" s="34"/>
      <c r="F206" s="34"/>
      <c r="G206" s="34"/>
      <c r="H206" s="76"/>
      <c r="I206" s="34"/>
      <c r="J206" s="34"/>
      <c r="K206" s="36"/>
      <c r="L206" s="34"/>
      <c r="M206" s="34"/>
      <c r="N206" s="36"/>
      <c r="O206" s="34"/>
      <c r="P206" s="34"/>
      <c r="Q206" s="36"/>
      <c r="R206" s="34"/>
      <c r="S206" s="34"/>
      <c r="T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</row>
    <row r="207" spans="2:50" x14ac:dyDescent="0.3">
      <c r="B207" s="34"/>
      <c r="C207" s="34"/>
      <c r="D207" s="34"/>
      <c r="E207" s="34"/>
      <c r="F207" s="34"/>
      <c r="G207" s="34"/>
      <c r="H207" s="76"/>
      <c r="I207" s="34"/>
      <c r="J207" s="34"/>
      <c r="K207" s="36"/>
      <c r="L207" s="34"/>
      <c r="M207" s="34"/>
      <c r="N207" s="36"/>
      <c r="O207" s="34"/>
      <c r="P207" s="34"/>
      <c r="Q207" s="36"/>
      <c r="R207" s="34"/>
      <c r="S207" s="34"/>
      <c r="T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</row>
    <row r="208" spans="2:50" x14ac:dyDescent="0.3">
      <c r="B208" s="34"/>
      <c r="C208" s="34"/>
      <c r="D208" s="34"/>
      <c r="E208" s="34"/>
      <c r="F208" s="34"/>
      <c r="G208" s="34"/>
      <c r="H208" s="76"/>
      <c r="I208" s="34"/>
      <c r="J208" s="34"/>
      <c r="K208" s="36"/>
      <c r="L208" s="34"/>
      <c r="M208" s="34"/>
      <c r="N208" s="36"/>
      <c r="O208" s="34"/>
      <c r="P208" s="34"/>
      <c r="Q208" s="36"/>
      <c r="R208" s="34"/>
      <c r="S208" s="34"/>
      <c r="T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</row>
    <row r="209" spans="2:50" x14ac:dyDescent="0.3">
      <c r="B209" s="34"/>
      <c r="C209" s="34"/>
      <c r="D209" s="34"/>
      <c r="E209" s="34"/>
      <c r="F209" s="34"/>
      <c r="G209" s="34"/>
      <c r="H209" s="76"/>
      <c r="I209" s="34"/>
      <c r="J209" s="34"/>
      <c r="K209" s="36"/>
      <c r="L209" s="34"/>
      <c r="M209" s="34"/>
      <c r="N209" s="36"/>
      <c r="O209" s="34"/>
      <c r="P209" s="34"/>
      <c r="Q209" s="36"/>
      <c r="R209" s="34"/>
      <c r="S209" s="34"/>
      <c r="T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</row>
    <row r="210" spans="2:50" x14ac:dyDescent="0.3">
      <c r="B210" s="34"/>
      <c r="C210" s="34"/>
      <c r="D210" s="34"/>
      <c r="E210" s="34"/>
      <c r="F210" s="34"/>
      <c r="G210" s="34"/>
      <c r="H210" s="76"/>
      <c r="I210" s="34"/>
      <c r="J210" s="34"/>
      <c r="K210" s="36"/>
      <c r="L210" s="34"/>
      <c r="M210" s="34"/>
      <c r="N210" s="36"/>
      <c r="O210" s="34"/>
      <c r="P210" s="34"/>
      <c r="Q210" s="36"/>
      <c r="R210" s="34"/>
      <c r="S210" s="34"/>
      <c r="T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</row>
    <row r="211" spans="2:50" x14ac:dyDescent="0.3">
      <c r="B211" s="34"/>
      <c r="C211" s="34"/>
      <c r="D211" s="34"/>
      <c r="E211" s="34"/>
      <c r="F211" s="34"/>
      <c r="G211" s="34"/>
      <c r="H211" s="76"/>
      <c r="I211" s="34"/>
      <c r="J211" s="34"/>
      <c r="K211" s="36"/>
      <c r="L211" s="34"/>
      <c r="M211" s="34"/>
      <c r="N211" s="36"/>
      <c r="O211" s="34"/>
      <c r="P211" s="34"/>
      <c r="Q211" s="36"/>
      <c r="R211" s="34"/>
      <c r="S211" s="34"/>
      <c r="T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</row>
    <row r="212" spans="2:50" x14ac:dyDescent="0.3">
      <c r="B212" s="34"/>
      <c r="C212" s="34"/>
      <c r="D212" s="34"/>
      <c r="E212" s="34"/>
      <c r="F212" s="34"/>
      <c r="G212" s="34"/>
      <c r="H212" s="76"/>
      <c r="I212" s="34"/>
      <c r="J212" s="34"/>
      <c r="K212" s="36"/>
      <c r="L212" s="34"/>
      <c r="M212" s="34"/>
      <c r="N212" s="36"/>
      <c r="O212" s="34"/>
      <c r="P212" s="34"/>
      <c r="Q212" s="36"/>
      <c r="R212" s="34"/>
      <c r="S212" s="34"/>
      <c r="T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</row>
    <row r="213" spans="2:50" x14ac:dyDescent="0.3">
      <c r="B213" s="34"/>
      <c r="C213" s="34"/>
      <c r="D213" s="34"/>
      <c r="E213" s="34"/>
      <c r="F213" s="34"/>
      <c r="G213" s="34"/>
      <c r="H213" s="76"/>
      <c r="I213" s="34"/>
      <c r="J213" s="34"/>
      <c r="K213" s="36"/>
      <c r="L213" s="34"/>
      <c r="M213" s="34"/>
      <c r="N213" s="36"/>
      <c r="O213" s="34"/>
      <c r="P213" s="34"/>
      <c r="Q213" s="36"/>
      <c r="R213" s="34"/>
      <c r="S213" s="34"/>
      <c r="T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</row>
    <row r="214" spans="2:50" x14ac:dyDescent="0.3">
      <c r="B214" s="34"/>
      <c r="C214" s="34"/>
      <c r="D214" s="34"/>
      <c r="E214" s="34"/>
      <c r="F214" s="34"/>
      <c r="G214" s="34"/>
      <c r="H214" s="76"/>
      <c r="I214" s="34"/>
      <c r="J214" s="34"/>
      <c r="K214" s="36"/>
      <c r="L214" s="34"/>
      <c r="M214" s="34"/>
      <c r="N214" s="36"/>
      <c r="O214" s="34"/>
      <c r="P214" s="34"/>
      <c r="Q214" s="36"/>
      <c r="R214" s="34"/>
      <c r="S214" s="34"/>
      <c r="T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</row>
    <row r="215" spans="2:50" x14ac:dyDescent="0.3">
      <c r="B215" s="34"/>
      <c r="C215" s="34"/>
      <c r="D215" s="34"/>
      <c r="E215" s="34"/>
      <c r="F215" s="34"/>
      <c r="G215" s="34"/>
      <c r="H215" s="76"/>
      <c r="I215" s="34"/>
      <c r="J215" s="34"/>
      <c r="K215" s="36"/>
      <c r="L215" s="34"/>
      <c r="M215" s="34"/>
      <c r="N215" s="36"/>
      <c r="O215" s="34"/>
      <c r="P215" s="34"/>
      <c r="Q215" s="36"/>
      <c r="R215" s="34"/>
      <c r="S215" s="34"/>
      <c r="T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</row>
    <row r="216" spans="2:50" x14ac:dyDescent="0.3">
      <c r="B216" s="34"/>
      <c r="C216" s="34"/>
      <c r="D216" s="34"/>
      <c r="E216" s="34"/>
      <c r="F216" s="34"/>
      <c r="G216" s="34"/>
      <c r="H216" s="76"/>
      <c r="I216" s="34"/>
      <c r="J216" s="34"/>
      <c r="K216" s="36"/>
      <c r="L216" s="34"/>
      <c r="M216" s="34"/>
      <c r="N216" s="36"/>
      <c r="O216" s="34"/>
      <c r="P216" s="34"/>
      <c r="Q216" s="36"/>
      <c r="R216" s="34"/>
      <c r="S216" s="34"/>
      <c r="T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</row>
    <row r="217" spans="2:50" x14ac:dyDescent="0.3">
      <c r="B217" s="34"/>
      <c r="C217" s="34"/>
      <c r="D217" s="34"/>
      <c r="E217" s="34"/>
      <c r="F217" s="34"/>
      <c r="G217" s="34"/>
      <c r="H217" s="76"/>
      <c r="I217" s="34"/>
      <c r="J217" s="34"/>
      <c r="K217" s="36"/>
      <c r="L217" s="34"/>
      <c r="M217" s="34"/>
      <c r="N217" s="36"/>
      <c r="O217" s="34"/>
      <c r="P217" s="34"/>
      <c r="Q217" s="36"/>
      <c r="R217" s="34"/>
      <c r="S217" s="34"/>
      <c r="T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</row>
    <row r="218" spans="2:50" x14ac:dyDescent="0.3">
      <c r="B218" s="34"/>
      <c r="C218" s="34"/>
      <c r="D218" s="34"/>
      <c r="E218" s="34"/>
      <c r="F218" s="34"/>
      <c r="G218" s="34"/>
      <c r="H218" s="76"/>
      <c r="I218" s="34"/>
      <c r="J218" s="34"/>
      <c r="K218" s="36"/>
      <c r="L218" s="34"/>
      <c r="M218" s="34"/>
      <c r="N218" s="36"/>
      <c r="O218" s="34"/>
      <c r="P218" s="34"/>
      <c r="Q218" s="36"/>
      <c r="R218" s="34"/>
      <c r="S218" s="34"/>
      <c r="T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</row>
    <row r="219" spans="2:50" x14ac:dyDescent="0.3">
      <c r="B219" s="34"/>
      <c r="C219" s="34"/>
      <c r="D219" s="34"/>
      <c r="E219" s="34"/>
      <c r="F219" s="34"/>
      <c r="G219" s="34"/>
      <c r="H219" s="76"/>
      <c r="I219" s="34"/>
      <c r="J219" s="34"/>
      <c r="K219" s="36"/>
      <c r="L219" s="34"/>
      <c r="M219" s="34"/>
      <c r="N219" s="36"/>
      <c r="O219" s="34"/>
      <c r="P219" s="34"/>
      <c r="Q219" s="36"/>
      <c r="R219" s="34"/>
      <c r="S219" s="34"/>
      <c r="T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</row>
    <row r="220" spans="2:50" x14ac:dyDescent="0.3">
      <c r="B220" s="34"/>
      <c r="C220" s="34"/>
      <c r="D220" s="34"/>
      <c r="E220" s="34"/>
      <c r="F220" s="34"/>
      <c r="G220" s="34"/>
      <c r="H220" s="76"/>
      <c r="I220" s="34"/>
      <c r="J220" s="34"/>
      <c r="K220" s="36"/>
      <c r="L220" s="34"/>
      <c r="M220" s="34"/>
      <c r="N220" s="36"/>
      <c r="O220" s="34"/>
      <c r="P220" s="34"/>
      <c r="Q220" s="36"/>
      <c r="R220" s="34"/>
      <c r="S220" s="34"/>
      <c r="T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</row>
    <row r="221" spans="2:50" x14ac:dyDescent="0.3">
      <c r="B221" s="34"/>
      <c r="C221" s="34"/>
      <c r="D221" s="34"/>
      <c r="E221" s="34"/>
      <c r="F221" s="34"/>
      <c r="G221" s="34"/>
      <c r="H221" s="76"/>
      <c r="I221" s="34"/>
      <c r="J221" s="34"/>
      <c r="K221" s="36"/>
      <c r="L221" s="34"/>
      <c r="M221" s="34"/>
      <c r="N221" s="36"/>
      <c r="O221" s="34"/>
      <c r="P221" s="34"/>
      <c r="Q221" s="36"/>
      <c r="R221" s="34"/>
      <c r="S221" s="34"/>
      <c r="T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</row>
    <row r="222" spans="2:50" x14ac:dyDescent="0.3">
      <c r="B222" s="34"/>
      <c r="C222" s="34"/>
      <c r="D222" s="34"/>
      <c r="E222" s="34"/>
      <c r="F222" s="34"/>
      <c r="G222" s="34"/>
      <c r="H222" s="76"/>
      <c r="I222" s="34"/>
      <c r="J222" s="34"/>
      <c r="K222" s="36"/>
      <c r="L222" s="34"/>
      <c r="M222" s="34"/>
      <c r="N222" s="36"/>
      <c r="O222" s="34"/>
      <c r="P222" s="34"/>
      <c r="Q222" s="36"/>
      <c r="R222" s="34"/>
      <c r="S222" s="34"/>
      <c r="T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</row>
    <row r="223" spans="2:50" x14ac:dyDescent="0.3">
      <c r="B223" s="34"/>
      <c r="C223" s="34"/>
      <c r="D223" s="34"/>
      <c r="E223" s="34"/>
      <c r="F223" s="34"/>
      <c r="G223" s="34"/>
      <c r="H223" s="76"/>
      <c r="I223" s="34"/>
      <c r="J223" s="34"/>
      <c r="K223" s="36"/>
      <c r="L223" s="34"/>
      <c r="M223" s="34"/>
      <c r="N223" s="36"/>
      <c r="O223" s="34"/>
      <c r="P223" s="34"/>
      <c r="Q223" s="36"/>
      <c r="R223" s="34"/>
      <c r="S223" s="34"/>
      <c r="T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</row>
    <row r="224" spans="2:50" x14ac:dyDescent="0.3">
      <c r="B224" s="34"/>
      <c r="C224" s="34"/>
      <c r="D224" s="34"/>
      <c r="E224" s="34"/>
      <c r="F224" s="34"/>
      <c r="G224" s="34"/>
      <c r="H224" s="76"/>
      <c r="I224" s="34"/>
      <c r="J224" s="34"/>
      <c r="K224" s="36"/>
      <c r="L224" s="34"/>
      <c r="M224" s="34"/>
      <c r="N224" s="36"/>
      <c r="O224" s="34"/>
      <c r="P224" s="34"/>
      <c r="Q224" s="36"/>
      <c r="R224" s="34"/>
      <c r="S224" s="34"/>
      <c r="T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</row>
    <row r="225" spans="2:50" x14ac:dyDescent="0.3">
      <c r="B225" s="34"/>
      <c r="C225" s="34"/>
      <c r="D225" s="34"/>
      <c r="E225" s="34"/>
      <c r="F225" s="34"/>
      <c r="G225" s="34"/>
      <c r="H225" s="76"/>
      <c r="I225" s="34"/>
      <c r="J225" s="34"/>
      <c r="K225" s="36"/>
      <c r="L225" s="34"/>
      <c r="M225" s="34"/>
      <c r="N225" s="36"/>
      <c r="O225" s="34"/>
      <c r="P225" s="34"/>
      <c r="Q225" s="36"/>
      <c r="R225" s="34"/>
      <c r="S225" s="34"/>
      <c r="T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</row>
    <row r="226" spans="2:50" x14ac:dyDescent="0.3">
      <c r="B226" s="34"/>
      <c r="C226" s="34"/>
      <c r="D226" s="34"/>
      <c r="E226" s="34"/>
      <c r="F226" s="34"/>
      <c r="G226" s="34"/>
      <c r="H226" s="76"/>
      <c r="I226" s="34"/>
      <c r="J226" s="34"/>
      <c r="K226" s="36"/>
      <c r="L226" s="34"/>
      <c r="M226" s="34"/>
      <c r="N226" s="36"/>
      <c r="O226" s="34"/>
      <c r="P226" s="34"/>
      <c r="Q226" s="36"/>
      <c r="R226" s="34"/>
      <c r="S226" s="34"/>
      <c r="T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</row>
    <row r="227" spans="2:50" x14ac:dyDescent="0.3">
      <c r="B227" s="34"/>
      <c r="C227" s="34"/>
      <c r="D227" s="34"/>
      <c r="E227" s="34"/>
      <c r="F227" s="34"/>
      <c r="G227" s="34"/>
      <c r="H227" s="76"/>
      <c r="I227" s="34"/>
      <c r="J227" s="34"/>
      <c r="K227" s="36"/>
      <c r="L227" s="34"/>
      <c r="M227" s="34"/>
      <c r="N227" s="36"/>
      <c r="O227" s="34"/>
      <c r="P227" s="34"/>
      <c r="Q227" s="36"/>
      <c r="R227" s="34"/>
      <c r="S227" s="34"/>
      <c r="T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</row>
    <row r="228" spans="2:50" x14ac:dyDescent="0.3">
      <c r="B228" s="34"/>
      <c r="C228" s="34"/>
      <c r="D228" s="34"/>
      <c r="E228" s="34"/>
      <c r="F228" s="34"/>
      <c r="G228" s="34"/>
      <c r="H228" s="76"/>
      <c r="I228" s="34"/>
      <c r="J228" s="34"/>
      <c r="K228" s="36"/>
      <c r="L228" s="34"/>
      <c r="M228" s="34"/>
      <c r="N228" s="36"/>
      <c r="O228" s="34"/>
      <c r="P228" s="34"/>
      <c r="Q228" s="36"/>
      <c r="R228" s="34"/>
      <c r="S228" s="34"/>
      <c r="T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</row>
    <row r="229" spans="2:50" x14ac:dyDescent="0.3">
      <c r="B229" s="34"/>
      <c r="C229" s="34"/>
      <c r="D229" s="34"/>
      <c r="E229" s="34"/>
      <c r="F229" s="34"/>
      <c r="G229" s="34"/>
      <c r="H229" s="76"/>
      <c r="I229" s="34"/>
      <c r="J229" s="34"/>
      <c r="K229" s="36"/>
      <c r="L229" s="34"/>
      <c r="M229" s="34"/>
      <c r="N229" s="36"/>
      <c r="O229" s="34"/>
      <c r="P229" s="34"/>
      <c r="Q229" s="36"/>
      <c r="R229" s="34"/>
      <c r="S229" s="34"/>
      <c r="T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</row>
    <row r="230" spans="2:50" x14ac:dyDescent="0.3">
      <c r="B230" s="34"/>
      <c r="C230" s="34"/>
      <c r="D230" s="34"/>
      <c r="E230" s="34"/>
      <c r="F230" s="34"/>
      <c r="G230" s="34"/>
      <c r="H230" s="76"/>
      <c r="I230" s="34"/>
      <c r="J230" s="34"/>
      <c r="K230" s="36"/>
      <c r="L230" s="34"/>
      <c r="M230" s="34"/>
      <c r="N230" s="36"/>
      <c r="O230" s="34"/>
      <c r="P230" s="34"/>
      <c r="Q230" s="36"/>
      <c r="R230" s="34"/>
      <c r="S230" s="34"/>
      <c r="T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</row>
    <row r="231" spans="2:50" x14ac:dyDescent="0.3">
      <c r="B231" s="34"/>
      <c r="C231" s="34"/>
      <c r="D231" s="34"/>
      <c r="E231" s="34"/>
      <c r="F231" s="34"/>
      <c r="G231" s="34"/>
      <c r="H231" s="76"/>
      <c r="I231" s="34"/>
      <c r="J231" s="34"/>
      <c r="K231" s="36"/>
      <c r="L231" s="34"/>
      <c r="M231" s="34"/>
      <c r="N231" s="36"/>
      <c r="O231" s="34"/>
      <c r="P231" s="34"/>
      <c r="Q231" s="36"/>
      <c r="R231" s="34"/>
      <c r="S231" s="34"/>
      <c r="T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</row>
    <row r="232" spans="2:50" x14ac:dyDescent="0.3">
      <c r="B232" s="34"/>
      <c r="C232" s="34"/>
      <c r="D232" s="34"/>
      <c r="E232" s="34"/>
      <c r="F232" s="34"/>
      <c r="G232" s="34"/>
      <c r="H232" s="76"/>
      <c r="I232" s="34"/>
      <c r="J232" s="34"/>
      <c r="K232" s="36"/>
      <c r="L232" s="34"/>
      <c r="M232" s="34"/>
      <c r="N232" s="36"/>
      <c r="O232" s="34"/>
      <c r="P232" s="34"/>
      <c r="Q232" s="36"/>
      <c r="R232" s="34"/>
      <c r="S232" s="34"/>
      <c r="T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</row>
    <row r="233" spans="2:50" x14ac:dyDescent="0.3">
      <c r="B233" s="34"/>
      <c r="C233" s="34"/>
      <c r="D233" s="34"/>
      <c r="E233" s="34"/>
      <c r="F233" s="34"/>
      <c r="G233" s="34"/>
      <c r="H233" s="76"/>
      <c r="I233" s="34"/>
      <c r="J233" s="34"/>
      <c r="K233" s="36"/>
      <c r="L233" s="34"/>
      <c r="M233" s="34"/>
      <c r="N233" s="36"/>
      <c r="O233" s="34"/>
      <c r="P233" s="34"/>
      <c r="Q233" s="36"/>
      <c r="R233" s="34"/>
      <c r="S233" s="34"/>
      <c r="T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</row>
    <row r="234" spans="2:50" x14ac:dyDescent="0.3">
      <c r="B234" s="34"/>
      <c r="C234" s="34"/>
      <c r="D234" s="34"/>
      <c r="E234" s="34"/>
      <c r="F234" s="34"/>
      <c r="G234" s="34"/>
      <c r="H234" s="76"/>
      <c r="I234" s="34"/>
      <c r="J234" s="34"/>
      <c r="K234" s="36"/>
      <c r="L234" s="34"/>
      <c r="M234" s="34"/>
      <c r="N234" s="36"/>
      <c r="O234" s="34"/>
      <c r="P234" s="34"/>
      <c r="Q234" s="36"/>
      <c r="R234" s="34"/>
      <c r="S234" s="34"/>
      <c r="T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</row>
    <row r="235" spans="2:50" x14ac:dyDescent="0.3">
      <c r="B235" s="34"/>
      <c r="C235" s="34"/>
      <c r="D235" s="34"/>
      <c r="E235" s="34"/>
      <c r="F235" s="34"/>
      <c r="G235" s="34"/>
      <c r="H235" s="76"/>
      <c r="I235" s="34"/>
      <c r="J235" s="34"/>
      <c r="K235" s="36"/>
      <c r="L235" s="34"/>
      <c r="M235" s="34"/>
      <c r="N235" s="36"/>
      <c r="O235" s="34"/>
      <c r="P235" s="34"/>
      <c r="Q235" s="36"/>
      <c r="R235" s="34"/>
      <c r="S235" s="34"/>
      <c r="T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</row>
    <row r="236" spans="2:50" x14ac:dyDescent="0.3">
      <c r="B236" s="34"/>
      <c r="C236" s="34"/>
      <c r="D236" s="34"/>
      <c r="E236" s="34"/>
      <c r="F236" s="34"/>
      <c r="G236" s="34"/>
      <c r="H236" s="76"/>
      <c r="I236" s="34"/>
      <c r="J236" s="34"/>
      <c r="K236" s="36"/>
      <c r="L236" s="34"/>
      <c r="M236" s="34"/>
      <c r="N236" s="36"/>
      <c r="O236" s="34"/>
      <c r="P236" s="34"/>
      <c r="Q236" s="36"/>
      <c r="R236" s="34"/>
      <c r="S236" s="34"/>
      <c r="T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</row>
    <row r="237" spans="2:50" x14ac:dyDescent="0.3">
      <c r="B237" s="34"/>
      <c r="C237" s="34"/>
      <c r="D237" s="34"/>
      <c r="E237" s="34"/>
      <c r="F237" s="34"/>
      <c r="G237" s="34"/>
      <c r="H237" s="76"/>
      <c r="I237" s="34"/>
      <c r="J237" s="34"/>
      <c r="K237" s="36"/>
      <c r="L237" s="34"/>
      <c r="M237" s="34"/>
      <c r="N237" s="36"/>
      <c r="O237" s="34"/>
      <c r="P237" s="34"/>
      <c r="Q237" s="36"/>
      <c r="R237" s="34"/>
      <c r="S237" s="34"/>
      <c r="T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</row>
    <row r="238" spans="2:50" x14ac:dyDescent="0.3">
      <c r="B238" s="34"/>
      <c r="C238" s="34"/>
      <c r="D238" s="34"/>
      <c r="E238" s="34"/>
      <c r="F238" s="34"/>
      <c r="G238" s="34"/>
      <c r="H238" s="76"/>
      <c r="I238" s="34"/>
      <c r="J238" s="34"/>
      <c r="K238" s="36"/>
      <c r="L238" s="34"/>
      <c r="M238" s="34"/>
      <c r="N238" s="36"/>
      <c r="O238" s="34"/>
      <c r="P238" s="34"/>
      <c r="Q238" s="36"/>
      <c r="R238" s="34"/>
      <c r="S238" s="34"/>
      <c r="T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</row>
    <row r="239" spans="2:50" x14ac:dyDescent="0.3">
      <c r="B239" s="34"/>
      <c r="C239" s="34"/>
      <c r="D239" s="34"/>
      <c r="E239" s="34"/>
      <c r="F239" s="34"/>
      <c r="G239" s="34"/>
      <c r="H239" s="76"/>
      <c r="I239" s="34"/>
      <c r="J239" s="34"/>
      <c r="K239" s="36"/>
      <c r="L239" s="34"/>
      <c r="M239" s="34"/>
      <c r="N239" s="36"/>
      <c r="O239" s="34"/>
      <c r="P239" s="34"/>
      <c r="Q239" s="36"/>
      <c r="R239" s="34"/>
      <c r="S239" s="34"/>
      <c r="T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</row>
    <row r="240" spans="2:50" x14ac:dyDescent="0.3">
      <c r="B240" s="34"/>
      <c r="C240" s="34"/>
      <c r="D240" s="34"/>
      <c r="E240" s="34"/>
      <c r="F240" s="34"/>
      <c r="G240" s="34"/>
      <c r="H240" s="76"/>
      <c r="I240" s="34"/>
      <c r="J240" s="34"/>
      <c r="K240" s="36"/>
      <c r="L240" s="34"/>
      <c r="M240" s="34"/>
      <c r="N240" s="36"/>
      <c r="O240" s="34"/>
      <c r="P240" s="34"/>
      <c r="Q240" s="36"/>
      <c r="R240" s="34"/>
      <c r="S240" s="34"/>
      <c r="T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</row>
    <row r="241" spans="2:50" x14ac:dyDescent="0.3">
      <c r="B241" s="34"/>
      <c r="C241" s="34"/>
      <c r="D241" s="34"/>
      <c r="E241" s="34"/>
      <c r="F241" s="34"/>
      <c r="G241" s="34"/>
      <c r="H241" s="76"/>
      <c r="I241" s="34"/>
      <c r="J241" s="34"/>
      <c r="K241" s="36"/>
      <c r="L241" s="34"/>
      <c r="M241" s="34"/>
      <c r="N241" s="36"/>
      <c r="O241" s="34"/>
      <c r="P241" s="34"/>
      <c r="Q241" s="36"/>
      <c r="R241" s="34"/>
      <c r="S241" s="34"/>
      <c r="T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</row>
    <row r="242" spans="2:50" x14ac:dyDescent="0.3">
      <c r="B242" s="34"/>
      <c r="C242" s="34"/>
      <c r="D242" s="34"/>
      <c r="E242" s="34"/>
      <c r="F242" s="34"/>
      <c r="G242" s="34"/>
      <c r="H242" s="76"/>
      <c r="I242" s="34"/>
      <c r="J242" s="34"/>
      <c r="K242" s="36"/>
      <c r="L242" s="34"/>
      <c r="M242" s="34"/>
      <c r="N242" s="36"/>
      <c r="O242" s="34"/>
      <c r="P242" s="34"/>
      <c r="Q242" s="36"/>
      <c r="R242" s="34"/>
      <c r="S242" s="34"/>
      <c r="T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</row>
    <row r="243" spans="2:50" x14ac:dyDescent="0.3">
      <c r="B243" s="34"/>
      <c r="C243" s="34"/>
      <c r="D243" s="34"/>
      <c r="E243" s="34"/>
      <c r="F243" s="34"/>
      <c r="G243" s="34"/>
      <c r="H243" s="76"/>
      <c r="I243" s="34"/>
      <c r="J243" s="34"/>
      <c r="K243" s="36"/>
      <c r="L243" s="34"/>
      <c r="M243" s="34"/>
      <c r="N243" s="36"/>
      <c r="O243" s="34"/>
      <c r="P243" s="34"/>
      <c r="Q243" s="36"/>
      <c r="R243" s="34"/>
      <c r="S243" s="34"/>
      <c r="T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</row>
    <row r="244" spans="2:50" x14ac:dyDescent="0.3">
      <c r="B244" s="34"/>
      <c r="C244" s="34"/>
      <c r="D244" s="34"/>
      <c r="E244" s="34"/>
      <c r="F244" s="34"/>
      <c r="G244" s="34"/>
      <c r="H244" s="76"/>
      <c r="I244" s="34"/>
      <c r="J244" s="34"/>
      <c r="K244" s="36"/>
      <c r="L244" s="34"/>
      <c r="M244" s="34"/>
      <c r="N244" s="36"/>
      <c r="O244" s="34"/>
      <c r="P244" s="34"/>
      <c r="Q244" s="36"/>
      <c r="R244" s="34"/>
      <c r="S244" s="34"/>
      <c r="T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</row>
    <row r="245" spans="2:50" x14ac:dyDescent="0.3">
      <c r="B245" s="34"/>
      <c r="C245" s="34"/>
      <c r="D245" s="34"/>
      <c r="E245" s="34"/>
      <c r="F245" s="34"/>
      <c r="G245" s="34"/>
      <c r="H245" s="76"/>
      <c r="I245" s="34"/>
      <c r="J245" s="34"/>
      <c r="K245" s="36"/>
      <c r="L245" s="34"/>
      <c r="M245" s="34"/>
      <c r="N245" s="36"/>
      <c r="O245" s="34"/>
      <c r="P245" s="34"/>
      <c r="Q245" s="36"/>
      <c r="R245" s="34"/>
      <c r="S245" s="34"/>
      <c r="T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</row>
    <row r="246" spans="2:50" x14ac:dyDescent="0.3">
      <c r="B246" s="34"/>
      <c r="C246" s="34"/>
      <c r="D246" s="34"/>
      <c r="E246" s="34"/>
      <c r="F246" s="34"/>
      <c r="G246" s="34"/>
      <c r="H246" s="76"/>
      <c r="I246" s="34"/>
      <c r="J246" s="34"/>
      <c r="K246" s="36"/>
      <c r="L246" s="34"/>
      <c r="M246" s="34"/>
      <c r="N246" s="36"/>
      <c r="O246" s="34"/>
      <c r="P246" s="34"/>
      <c r="Q246" s="36"/>
      <c r="R246" s="34"/>
      <c r="S246" s="34"/>
      <c r="T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</row>
    <row r="247" spans="2:50" x14ac:dyDescent="0.3">
      <c r="B247" s="34"/>
      <c r="C247" s="34"/>
      <c r="D247" s="34"/>
      <c r="E247" s="34"/>
      <c r="F247" s="34"/>
      <c r="G247" s="34"/>
      <c r="H247" s="76"/>
      <c r="I247" s="34"/>
      <c r="J247" s="34"/>
      <c r="K247" s="36"/>
      <c r="L247" s="34"/>
      <c r="M247" s="34"/>
      <c r="N247" s="36"/>
      <c r="O247" s="34"/>
      <c r="P247" s="34"/>
      <c r="Q247" s="36"/>
      <c r="R247" s="34"/>
      <c r="S247" s="34"/>
      <c r="T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</row>
    <row r="248" spans="2:50" x14ac:dyDescent="0.3">
      <c r="B248" s="34"/>
      <c r="C248" s="34"/>
      <c r="D248" s="34"/>
      <c r="E248" s="34"/>
      <c r="F248" s="34"/>
      <c r="G248" s="34"/>
      <c r="H248" s="76"/>
      <c r="I248" s="34"/>
      <c r="J248" s="34"/>
      <c r="K248" s="36"/>
      <c r="L248" s="34"/>
      <c r="M248" s="34"/>
      <c r="N248" s="36"/>
      <c r="O248" s="34"/>
      <c r="P248" s="34"/>
      <c r="Q248" s="36"/>
      <c r="R248" s="34"/>
      <c r="S248" s="34"/>
      <c r="T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</row>
    <row r="249" spans="2:50" x14ac:dyDescent="0.3">
      <c r="B249" s="34"/>
      <c r="C249" s="34"/>
      <c r="D249" s="34"/>
      <c r="E249" s="34"/>
      <c r="F249" s="34"/>
      <c r="G249" s="34"/>
      <c r="H249" s="76"/>
      <c r="I249" s="34"/>
      <c r="J249" s="34"/>
      <c r="K249" s="36"/>
      <c r="L249" s="34"/>
      <c r="M249" s="34"/>
      <c r="N249" s="36"/>
      <c r="O249" s="34"/>
      <c r="P249" s="34"/>
      <c r="Q249" s="36"/>
      <c r="R249" s="34"/>
      <c r="S249" s="34"/>
      <c r="T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</row>
    <row r="250" spans="2:50" x14ac:dyDescent="0.3">
      <c r="B250" s="34"/>
      <c r="C250" s="34"/>
      <c r="D250" s="34"/>
      <c r="E250" s="34"/>
      <c r="F250" s="34"/>
      <c r="G250" s="34"/>
      <c r="H250" s="76"/>
      <c r="I250" s="34"/>
      <c r="J250" s="34"/>
      <c r="K250" s="36"/>
      <c r="L250" s="34"/>
      <c r="M250" s="34"/>
      <c r="N250" s="36"/>
      <c r="O250" s="34"/>
      <c r="P250" s="34"/>
      <c r="Q250" s="36"/>
      <c r="R250" s="34"/>
      <c r="S250" s="34"/>
      <c r="T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</row>
    <row r="251" spans="2:50" x14ac:dyDescent="0.3">
      <c r="B251" s="34"/>
      <c r="C251" s="34"/>
      <c r="D251" s="34"/>
      <c r="E251" s="34"/>
      <c r="F251" s="34"/>
      <c r="G251" s="34"/>
      <c r="H251" s="76"/>
      <c r="I251" s="34"/>
      <c r="J251" s="34"/>
      <c r="K251" s="36"/>
      <c r="L251" s="34"/>
      <c r="M251" s="34"/>
      <c r="N251" s="36"/>
      <c r="O251" s="34"/>
      <c r="P251" s="34"/>
      <c r="Q251" s="36"/>
      <c r="R251" s="34"/>
      <c r="S251" s="34"/>
      <c r="T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</row>
    <row r="252" spans="2:50" x14ac:dyDescent="0.3">
      <c r="B252" s="34"/>
      <c r="C252" s="34"/>
      <c r="D252" s="34"/>
      <c r="E252" s="34"/>
      <c r="F252" s="34"/>
      <c r="G252" s="34"/>
      <c r="H252" s="76"/>
      <c r="I252" s="34"/>
      <c r="J252" s="34"/>
      <c r="K252" s="36"/>
      <c r="L252" s="34"/>
      <c r="M252" s="34"/>
      <c r="N252" s="36"/>
      <c r="O252" s="34"/>
      <c r="P252" s="34"/>
      <c r="Q252" s="36"/>
      <c r="R252" s="34"/>
      <c r="S252" s="34"/>
      <c r="T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</row>
    <row r="253" spans="2:50" x14ac:dyDescent="0.3">
      <c r="B253" s="34"/>
      <c r="C253" s="34"/>
      <c r="D253" s="34"/>
      <c r="E253" s="34"/>
      <c r="F253" s="34"/>
      <c r="G253" s="34"/>
      <c r="H253" s="76"/>
      <c r="I253" s="34"/>
      <c r="J253" s="34"/>
      <c r="K253" s="36"/>
      <c r="L253" s="34"/>
      <c r="M253" s="34"/>
      <c r="N253" s="36"/>
      <c r="O253" s="34"/>
      <c r="P253" s="34"/>
      <c r="Q253" s="36"/>
      <c r="R253" s="34"/>
      <c r="S253" s="34"/>
      <c r="T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</row>
    <row r="254" spans="2:50" x14ac:dyDescent="0.3">
      <c r="B254" s="34"/>
      <c r="C254" s="34"/>
      <c r="D254" s="34"/>
      <c r="E254" s="34"/>
      <c r="F254" s="34"/>
      <c r="G254" s="34"/>
      <c r="H254" s="76"/>
      <c r="I254" s="34"/>
      <c r="J254" s="34"/>
      <c r="K254" s="36"/>
      <c r="L254" s="34"/>
      <c r="M254" s="34"/>
      <c r="N254" s="36"/>
      <c r="O254" s="34"/>
      <c r="P254" s="34"/>
      <c r="Q254" s="36"/>
      <c r="R254" s="34"/>
      <c r="S254" s="34"/>
      <c r="T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</row>
    <row r="255" spans="2:50" x14ac:dyDescent="0.3">
      <c r="B255" s="34"/>
      <c r="C255" s="34"/>
      <c r="D255" s="34"/>
      <c r="E255" s="34"/>
      <c r="F255" s="34"/>
      <c r="G255" s="34"/>
      <c r="H255" s="76"/>
      <c r="I255" s="34"/>
      <c r="J255" s="34"/>
      <c r="K255" s="36"/>
      <c r="L255" s="34"/>
      <c r="M255" s="34"/>
      <c r="N255" s="36"/>
      <c r="O255" s="34"/>
      <c r="P255" s="34"/>
      <c r="Q255" s="36"/>
      <c r="R255" s="34"/>
      <c r="S255" s="34"/>
      <c r="T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</row>
    <row r="256" spans="2:50" x14ac:dyDescent="0.3">
      <c r="B256" s="34"/>
      <c r="C256" s="34"/>
      <c r="D256" s="34"/>
      <c r="E256" s="34"/>
      <c r="F256" s="34"/>
      <c r="G256" s="34"/>
      <c r="H256" s="76"/>
      <c r="I256" s="34"/>
      <c r="J256" s="34"/>
      <c r="K256" s="36"/>
      <c r="L256" s="34"/>
      <c r="M256" s="34"/>
      <c r="N256" s="36"/>
      <c r="O256" s="34"/>
      <c r="P256" s="34"/>
      <c r="Q256" s="36"/>
      <c r="R256" s="34"/>
      <c r="S256" s="34"/>
      <c r="T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</row>
    <row r="257" spans="2:50" x14ac:dyDescent="0.3">
      <c r="B257" s="34"/>
      <c r="C257" s="34"/>
      <c r="D257" s="34"/>
      <c r="E257" s="34"/>
      <c r="F257" s="34"/>
      <c r="G257" s="34"/>
      <c r="H257" s="76"/>
      <c r="I257" s="34"/>
      <c r="J257" s="34"/>
      <c r="K257" s="36"/>
      <c r="L257" s="34"/>
      <c r="M257" s="34"/>
      <c r="N257" s="36"/>
      <c r="O257" s="34"/>
      <c r="P257" s="34"/>
      <c r="Q257" s="36"/>
      <c r="R257" s="34"/>
      <c r="S257" s="34"/>
      <c r="T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</row>
    <row r="258" spans="2:50" x14ac:dyDescent="0.3">
      <c r="B258" s="34"/>
      <c r="C258" s="34"/>
      <c r="D258" s="34"/>
      <c r="E258" s="34"/>
      <c r="F258" s="34"/>
      <c r="G258" s="34"/>
      <c r="H258" s="76"/>
      <c r="I258" s="34"/>
      <c r="J258" s="34"/>
      <c r="K258" s="36"/>
      <c r="L258" s="34"/>
      <c r="M258" s="34"/>
      <c r="N258" s="36"/>
      <c r="O258" s="34"/>
      <c r="P258" s="34"/>
      <c r="Q258" s="36"/>
      <c r="R258" s="34"/>
      <c r="S258" s="34"/>
      <c r="T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</row>
    <row r="259" spans="2:50" x14ac:dyDescent="0.3">
      <c r="B259" s="34"/>
      <c r="C259" s="34"/>
      <c r="D259" s="34"/>
      <c r="E259" s="34"/>
      <c r="F259" s="34"/>
      <c r="G259" s="34"/>
      <c r="H259" s="76"/>
      <c r="I259" s="34"/>
      <c r="J259" s="34"/>
      <c r="K259" s="36"/>
      <c r="L259" s="34"/>
      <c r="M259" s="34"/>
      <c r="N259" s="36"/>
      <c r="O259" s="34"/>
      <c r="P259" s="34"/>
      <c r="Q259" s="36"/>
      <c r="R259" s="34"/>
      <c r="S259" s="34"/>
      <c r="T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</row>
    <row r="260" spans="2:50" x14ac:dyDescent="0.3">
      <c r="B260" s="34"/>
      <c r="C260" s="34"/>
      <c r="D260" s="34"/>
      <c r="E260" s="34"/>
      <c r="F260" s="34"/>
      <c r="G260" s="34"/>
      <c r="H260" s="76"/>
      <c r="I260" s="34"/>
      <c r="J260" s="34"/>
      <c r="K260" s="36"/>
      <c r="L260" s="34"/>
      <c r="M260" s="34"/>
      <c r="N260" s="36"/>
      <c r="O260" s="34"/>
      <c r="P260" s="34"/>
      <c r="Q260" s="36"/>
      <c r="R260" s="34"/>
      <c r="S260" s="34"/>
      <c r="T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</row>
    <row r="261" spans="2:50" x14ac:dyDescent="0.3">
      <c r="B261" s="34"/>
      <c r="C261" s="34"/>
      <c r="D261" s="34"/>
      <c r="E261" s="34"/>
      <c r="F261" s="34"/>
      <c r="G261" s="34"/>
      <c r="H261" s="76"/>
      <c r="I261" s="34"/>
      <c r="J261" s="34"/>
      <c r="K261" s="36"/>
      <c r="L261" s="34"/>
      <c r="M261" s="34"/>
      <c r="N261" s="36"/>
      <c r="O261" s="34"/>
      <c r="P261" s="34"/>
      <c r="Q261" s="36"/>
      <c r="R261" s="34"/>
      <c r="S261" s="34"/>
      <c r="T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</row>
    <row r="262" spans="2:50" x14ac:dyDescent="0.3">
      <c r="B262" s="34"/>
      <c r="C262" s="34"/>
      <c r="D262" s="34"/>
      <c r="E262" s="34"/>
      <c r="F262" s="34"/>
      <c r="G262" s="34"/>
      <c r="H262" s="76"/>
      <c r="I262" s="34"/>
      <c r="J262" s="34"/>
      <c r="K262" s="36"/>
      <c r="L262" s="34"/>
      <c r="M262" s="34"/>
      <c r="N262" s="36"/>
      <c r="O262" s="34"/>
      <c r="P262" s="34"/>
      <c r="Q262" s="36"/>
      <c r="R262" s="34"/>
      <c r="S262" s="34"/>
      <c r="T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</row>
    <row r="263" spans="2:50" x14ac:dyDescent="0.3">
      <c r="B263" s="34"/>
      <c r="C263" s="34"/>
      <c r="D263" s="34"/>
      <c r="E263" s="34"/>
      <c r="F263" s="34"/>
      <c r="G263" s="34"/>
      <c r="H263" s="76"/>
      <c r="I263" s="34"/>
      <c r="J263" s="34"/>
      <c r="K263" s="36"/>
      <c r="L263" s="34"/>
      <c r="M263" s="34"/>
      <c r="N263" s="36"/>
      <c r="O263" s="34"/>
      <c r="P263" s="34"/>
      <c r="Q263" s="36"/>
      <c r="R263" s="34"/>
      <c r="S263" s="34"/>
      <c r="T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</row>
    <row r="264" spans="2:50" x14ac:dyDescent="0.3">
      <c r="B264" s="34"/>
      <c r="C264" s="34"/>
      <c r="D264" s="34"/>
      <c r="E264" s="34"/>
      <c r="F264" s="34"/>
      <c r="G264" s="34"/>
      <c r="H264" s="76"/>
      <c r="I264" s="34"/>
      <c r="J264" s="34"/>
      <c r="K264" s="36"/>
      <c r="L264" s="34"/>
      <c r="M264" s="34"/>
      <c r="N264" s="36"/>
      <c r="O264" s="34"/>
      <c r="P264" s="34"/>
      <c r="Q264" s="36"/>
      <c r="R264" s="34"/>
      <c r="S264" s="34"/>
      <c r="T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</row>
    <row r="265" spans="2:50" x14ac:dyDescent="0.3">
      <c r="B265" s="34"/>
      <c r="C265" s="34"/>
      <c r="D265" s="34"/>
      <c r="E265" s="34"/>
      <c r="F265" s="34"/>
      <c r="G265" s="34"/>
      <c r="H265" s="76"/>
      <c r="I265" s="34"/>
      <c r="J265" s="34"/>
      <c r="K265" s="36"/>
      <c r="L265" s="34"/>
      <c r="M265" s="34"/>
      <c r="N265" s="36"/>
      <c r="O265" s="34"/>
      <c r="P265" s="34"/>
      <c r="Q265" s="36"/>
      <c r="R265" s="34"/>
      <c r="S265" s="34"/>
      <c r="T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</row>
    <row r="266" spans="2:50" x14ac:dyDescent="0.3">
      <c r="B266" s="34"/>
      <c r="C266" s="34"/>
      <c r="D266" s="34"/>
      <c r="E266" s="34"/>
      <c r="F266" s="34"/>
      <c r="G266" s="34"/>
      <c r="H266" s="76"/>
      <c r="I266" s="34"/>
      <c r="J266" s="34"/>
      <c r="K266" s="36"/>
      <c r="L266" s="34"/>
      <c r="M266" s="34"/>
      <c r="N266" s="36"/>
      <c r="O266" s="34"/>
      <c r="P266" s="34"/>
      <c r="Q266" s="36"/>
      <c r="R266" s="34"/>
      <c r="S266" s="34"/>
      <c r="T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</row>
    <row r="267" spans="2:50" x14ac:dyDescent="0.3">
      <c r="B267" s="34"/>
      <c r="C267" s="34"/>
      <c r="D267" s="34"/>
      <c r="E267" s="34"/>
      <c r="F267" s="34"/>
      <c r="G267" s="34"/>
      <c r="H267" s="76"/>
      <c r="I267" s="34"/>
      <c r="J267" s="34"/>
      <c r="K267" s="36"/>
      <c r="L267" s="34"/>
      <c r="M267" s="34"/>
      <c r="N267" s="36"/>
      <c r="O267" s="34"/>
      <c r="P267" s="34"/>
      <c r="Q267" s="36"/>
      <c r="R267" s="34"/>
      <c r="S267" s="34"/>
      <c r="T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</row>
    <row r="268" spans="2:50" x14ac:dyDescent="0.3"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</row>
    <row r="269" spans="2:50" x14ac:dyDescent="0.3"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</row>
  </sheetData>
  <sheetProtection formatCells="0" formatColumns="0" formatRows="0" insertRows="0" deleteRows="0" sort="0" autoFilter="0"/>
  <dataValidations count="2">
    <dataValidation type="list" showInputMessage="1" showErrorMessage="1" sqref="Y8:Y9" xr:uid="{00000000-0002-0000-0100-000000000000}">
      <formula1>"Paid,Created,Sent"</formula1>
    </dataValidation>
    <dataValidation type="list" allowBlank="1" showInputMessage="1" showErrorMessage="1" sqref="Y10:Y38" xr:uid="{00000000-0002-0000-0100-000001000000}">
      <formula1>"Paid,Created,Sent"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-0.249977111117893"/>
  </sheetPr>
  <dimension ref="A1:P56"/>
  <sheetViews>
    <sheetView topLeftCell="A8" workbookViewId="0">
      <selection activeCell="C20" sqref="C20"/>
    </sheetView>
  </sheetViews>
  <sheetFormatPr defaultColWidth="0" defaultRowHeight="12.75" customHeight="1" zeroHeight="1" x14ac:dyDescent="0.3"/>
  <cols>
    <col min="1" max="1" width="1.25" style="18" customWidth="1"/>
    <col min="2" max="2" width="2.75" style="18" customWidth="1"/>
    <col min="3" max="13" width="8" style="18" customWidth="1"/>
    <col min="14" max="14" width="11" style="18" customWidth="1"/>
    <col min="15" max="15" width="2" style="18" customWidth="1"/>
    <col min="16" max="16" width="2.25" style="18" customWidth="1"/>
    <col min="17" max="16384" width="7.83203125" hidden="1"/>
  </cols>
  <sheetData>
    <row r="1" spans="1:16" ht="14" x14ac:dyDescent="0.3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</row>
    <row r="2" spans="1:16" ht="14" x14ac:dyDescent="0.3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</row>
    <row r="3" spans="1:16" ht="14" x14ac:dyDescent="0.3">
      <c r="A3" s="80"/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</row>
    <row r="4" spans="1:16" ht="14" x14ac:dyDescent="0.3">
      <c r="A4" s="80"/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0"/>
      <c r="P4" s="80"/>
    </row>
    <row r="5" spans="1:16" ht="18" x14ac:dyDescent="0.4">
      <c r="A5" s="80"/>
      <c r="B5" s="82"/>
      <c r="C5" s="83" t="s">
        <v>257</v>
      </c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0"/>
      <c r="P5" s="80"/>
    </row>
    <row r="6" spans="1:16" ht="14" x14ac:dyDescent="0.3">
      <c r="A6" s="80"/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0"/>
      <c r="P6" s="80"/>
    </row>
    <row r="7" spans="1:16" ht="14" x14ac:dyDescent="0.3">
      <c r="A7" s="80"/>
      <c r="B7" s="84"/>
      <c r="C7" s="85" t="s">
        <v>277</v>
      </c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0"/>
      <c r="P7" s="80"/>
    </row>
    <row r="8" spans="1:16" ht="14" x14ac:dyDescent="0.3">
      <c r="A8" s="80"/>
      <c r="B8" s="84"/>
      <c r="C8" s="85" t="s">
        <v>258</v>
      </c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0"/>
      <c r="P8" s="80"/>
    </row>
    <row r="9" spans="1:16" ht="14" x14ac:dyDescent="0.3">
      <c r="A9" s="80"/>
      <c r="B9" s="84"/>
      <c r="C9" s="85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0"/>
      <c r="P9" s="80"/>
    </row>
    <row r="10" spans="1:16" ht="14" x14ac:dyDescent="0.3">
      <c r="A10" s="80"/>
      <c r="B10" s="84"/>
      <c r="C10" s="85" t="s">
        <v>259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0"/>
      <c r="P10" s="80"/>
    </row>
    <row r="11" spans="1:16" ht="14" x14ac:dyDescent="0.3">
      <c r="A11" s="80"/>
      <c r="B11" s="84"/>
      <c r="C11" s="89" t="s">
        <v>260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0"/>
      <c r="P11" s="80"/>
    </row>
    <row r="12" spans="1:16" ht="14" x14ac:dyDescent="0.3">
      <c r="A12" s="80"/>
      <c r="B12" s="84"/>
      <c r="C12" s="89" t="s">
        <v>278</v>
      </c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0"/>
      <c r="P12" s="80"/>
    </row>
    <row r="13" spans="1:16" ht="14" x14ac:dyDescent="0.3">
      <c r="A13" s="80"/>
      <c r="B13" s="84"/>
      <c r="C13" s="85" t="s">
        <v>261</v>
      </c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0"/>
      <c r="P13" s="80"/>
    </row>
    <row r="14" spans="1:16" ht="14" x14ac:dyDescent="0.3">
      <c r="A14" s="80"/>
      <c r="B14" s="84"/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0"/>
      <c r="P14" s="80"/>
    </row>
    <row r="15" spans="1:16" ht="18" x14ac:dyDescent="0.4">
      <c r="A15" s="80"/>
      <c r="B15" s="84"/>
      <c r="C15" s="83" t="s">
        <v>262</v>
      </c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0"/>
      <c r="P15" s="80"/>
    </row>
    <row r="16" spans="1:16" ht="14" x14ac:dyDescent="0.3">
      <c r="A16" s="80"/>
      <c r="B16" s="84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0"/>
      <c r="P16" s="80"/>
    </row>
    <row r="17" spans="1:16" ht="14" x14ac:dyDescent="0.3">
      <c r="A17" s="80"/>
      <c r="B17" s="84"/>
      <c r="C17" s="85" t="s">
        <v>268</v>
      </c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0"/>
      <c r="P17" s="80"/>
    </row>
    <row r="18" spans="1:16" ht="14" x14ac:dyDescent="0.3">
      <c r="A18" s="80"/>
      <c r="B18" s="86"/>
      <c r="D18" s="86"/>
      <c r="E18" s="86"/>
      <c r="F18" s="86"/>
      <c r="G18" s="84"/>
      <c r="H18" s="84"/>
      <c r="I18" s="84"/>
      <c r="J18" s="84"/>
      <c r="K18" s="84"/>
      <c r="L18" s="84"/>
      <c r="M18" s="84"/>
      <c r="N18" s="84"/>
      <c r="O18" s="80"/>
      <c r="P18" s="80"/>
    </row>
    <row r="19" spans="1:16" ht="14" x14ac:dyDescent="0.3">
      <c r="A19" s="80"/>
      <c r="B19" s="81"/>
      <c r="C19" s="90" t="s">
        <v>263</v>
      </c>
      <c r="D19" s="87"/>
      <c r="E19" s="81"/>
      <c r="F19" s="81"/>
      <c r="G19" s="84"/>
      <c r="H19" s="84"/>
      <c r="I19" s="84"/>
      <c r="J19" s="84"/>
      <c r="K19" s="84"/>
      <c r="L19" s="84"/>
      <c r="M19" s="84"/>
      <c r="N19" s="84"/>
      <c r="O19" s="80"/>
      <c r="P19" s="80"/>
    </row>
    <row r="20" spans="1:16" ht="14" x14ac:dyDescent="0.3">
      <c r="A20" s="80"/>
      <c r="B20" s="84"/>
      <c r="C20" s="84" t="s">
        <v>264</v>
      </c>
      <c r="D20" s="85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0"/>
      <c r="P20" s="80"/>
    </row>
    <row r="21" spans="1:16" ht="14.5" x14ac:dyDescent="0.35">
      <c r="A21" s="80"/>
      <c r="B21" s="84"/>
      <c r="C21" s="84" t="s">
        <v>279</v>
      </c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0"/>
      <c r="P21" s="80"/>
    </row>
    <row r="22" spans="1:16" ht="14.5" x14ac:dyDescent="0.35">
      <c r="A22" s="80"/>
      <c r="B22" s="84"/>
      <c r="C22" s="85" t="s">
        <v>280</v>
      </c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0"/>
      <c r="P22" s="80"/>
    </row>
    <row r="23" spans="1:16" ht="14" x14ac:dyDescent="0.3">
      <c r="A23" s="80"/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0"/>
      <c r="P23" s="80"/>
    </row>
    <row r="24" spans="1:16" ht="14" x14ac:dyDescent="0.3">
      <c r="A24" s="80"/>
      <c r="B24" s="84"/>
      <c r="C24" s="90" t="s">
        <v>265</v>
      </c>
      <c r="D24" s="85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0"/>
      <c r="P24" s="80"/>
    </row>
    <row r="25" spans="1:16" ht="14" x14ac:dyDescent="0.3">
      <c r="A25" s="80"/>
      <c r="B25" s="84"/>
      <c r="C25" s="84" t="s">
        <v>281</v>
      </c>
      <c r="D25" s="85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0"/>
      <c r="P25" s="80"/>
    </row>
    <row r="26" spans="1:16" ht="14" x14ac:dyDescent="0.3">
      <c r="A26" s="80"/>
      <c r="B26" s="84"/>
      <c r="C26" s="84" t="s">
        <v>266</v>
      </c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0"/>
      <c r="P26" s="80"/>
    </row>
    <row r="27" spans="1:16" ht="14" x14ac:dyDescent="0.3">
      <c r="A27" s="80"/>
      <c r="B27" s="84"/>
      <c r="C27" s="85" t="s">
        <v>267</v>
      </c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0"/>
      <c r="P27" s="80"/>
    </row>
    <row r="28" spans="1:16" ht="18" x14ac:dyDescent="0.4">
      <c r="A28" s="80"/>
      <c r="B28" s="84"/>
      <c r="C28" s="83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0"/>
      <c r="P28" s="80"/>
    </row>
    <row r="29" spans="1:16" ht="14" x14ac:dyDescent="0.3">
      <c r="A29" s="80"/>
      <c r="B29" s="84"/>
      <c r="C29" s="90" t="s">
        <v>269</v>
      </c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0"/>
      <c r="P29" s="80"/>
    </row>
    <row r="30" spans="1:16" ht="14" x14ac:dyDescent="0.3">
      <c r="A30" s="80"/>
      <c r="B30" s="84"/>
      <c r="C30" s="84" t="s">
        <v>270</v>
      </c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0"/>
      <c r="P30" s="80"/>
    </row>
    <row r="31" spans="1:16" ht="14.5" x14ac:dyDescent="0.35">
      <c r="A31" s="80"/>
      <c r="B31" s="84"/>
      <c r="C31" s="85" t="s">
        <v>282</v>
      </c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0"/>
      <c r="P31" s="80"/>
    </row>
    <row r="32" spans="1:16" ht="14" x14ac:dyDescent="0.3">
      <c r="A32" s="80"/>
      <c r="B32" s="84"/>
      <c r="C32" s="85" t="s">
        <v>283</v>
      </c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0"/>
      <c r="P32" s="80"/>
    </row>
    <row r="33" spans="1:16" ht="14" x14ac:dyDescent="0.3">
      <c r="A33" s="80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0"/>
      <c r="P33" s="80"/>
    </row>
    <row r="34" spans="1:16" ht="14" x14ac:dyDescent="0.3">
      <c r="A34" s="80"/>
      <c r="B34" s="84"/>
      <c r="C34" s="90" t="s">
        <v>271</v>
      </c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0"/>
      <c r="P34" s="80"/>
    </row>
    <row r="35" spans="1:16" ht="14" x14ac:dyDescent="0.3">
      <c r="A35" s="80"/>
      <c r="B35" s="84"/>
      <c r="C35" s="85" t="s">
        <v>272</v>
      </c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0"/>
      <c r="P35" s="80"/>
    </row>
    <row r="36" spans="1:16" ht="14.5" x14ac:dyDescent="0.35">
      <c r="A36" s="80"/>
      <c r="B36" s="84"/>
      <c r="C36" s="85" t="s">
        <v>284</v>
      </c>
      <c r="D36" s="85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0"/>
      <c r="P36" s="80"/>
    </row>
    <row r="37" spans="1:16" ht="14.5" x14ac:dyDescent="0.35">
      <c r="A37" s="80"/>
      <c r="B37" s="84"/>
      <c r="C37" s="84" t="s">
        <v>285</v>
      </c>
      <c r="D37" s="85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0"/>
      <c r="P37" s="80"/>
    </row>
    <row r="38" spans="1:16" ht="14" x14ac:dyDescent="0.3">
      <c r="A38" s="80"/>
      <c r="B38" s="84"/>
      <c r="C38" s="85" t="s">
        <v>273</v>
      </c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0"/>
      <c r="P38" s="80"/>
    </row>
    <row r="39" spans="1:16" ht="14" x14ac:dyDescent="0.3">
      <c r="A39" s="80"/>
      <c r="B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0"/>
      <c r="P39" s="80"/>
    </row>
    <row r="40" spans="1:16" ht="14.5" x14ac:dyDescent="0.35">
      <c r="A40" s="80"/>
      <c r="B40" s="84"/>
      <c r="C40" s="91" t="s">
        <v>286</v>
      </c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0"/>
      <c r="P40" s="80"/>
    </row>
    <row r="41" spans="1:16" ht="14" x14ac:dyDescent="0.3">
      <c r="A41" s="80"/>
      <c r="B41" s="84"/>
      <c r="C41" s="84" t="s">
        <v>287</v>
      </c>
      <c r="D41" s="85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0"/>
      <c r="P41" s="80"/>
    </row>
    <row r="42" spans="1:16" ht="14.5" x14ac:dyDescent="0.35">
      <c r="A42" s="80"/>
      <c r="B42" s="84"/>
      <c r="C42" s="84" t="s">
        <v>288</v>
      </c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0"/>
      <c r="P42" s="80"/>
    </row>
    <row r="43" spans="1:16" ht="14" x14ac:dyDescent="0.3">
      <c r="A43" s="80"/>
      <c r="B43" s="84"/>
      <c r="C43" s="84" t="s">
        <v>289</v>
      </c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0"/>
      <c r="P43" s="80"/>
    </row>
    <row r="44" spans="1:16" ht="14" x14ac:dyDescent="0.3">
      <c r="A44" s="80"/>
      <c r="B44" s="84"/>
      <c r="C44" s="92" t="s">
        <v>290</v>
      </c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0"/>
      <c r="P44" s="80"/>
    </row>
    <row r="45" spans="1:16" ht="14" x14ac:dyDescent="0.3">
      <c r="A45" s="80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0"/>
      <c r="P45" s="80"/>
    </row>
    <row r="46" spans="1:16" ht="14" x14ac:dyDescent="0.3">
      <c r="A46" s="80"/>
      <c r="B46" s="84"/>
      <c r="C46" s="90" t="s">
        <v>274</v>
      </c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0"/>
      <c r="P46" s="80"/>
    </row>
    <row r="47" spans="1:16" ht="14" x14ac:dyDescent="0.3">
      <c r="A47" s="80"/>
      <c r="B47" s="84"/>
      <c r="C47" s="84" t="s">
        <v>275</v>
      </c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0"/>
      <c r="P47" s="80"/>
    </row>
    <row r="48" spans="1:16" ht="14" x14ac:dyDescent="0.3">
      <c r="A48" s="80"/>
      <c r="B48" s="84"/>
      <c r="C48" s="84" t="s">
        <v>276</v>
      </c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0"/>
      <c r="P48" s="80"/>
    </row>
    <row r="49" spans="1:16" ht="14" x14ac:dyDescent="0.3">
      <c r="A49" s="80"/>
      <c r="B49" s="84"/>
      <c r="C49" s="84"/>
      <c r="D49" s="85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0"/>
      <c r="P49" s="80"/>
    </row>
    <row r="50" spans="1:16" ht="14" x14ac:dyDescent="0.3">
      <c r="A50" s="80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0"/>
      <c r="P50" s="80"/>
    </row>
    <row r="51" spans="1:16" ht="14" x14ac:dyDescent="0.3">
      <c r="A51" s="80"/>
      <c r="B51" s="84"/>
      <c r="C51" s="84" t="s">
        <v>291</v>
      </c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0"/>
      <c r="P51" s="80"/>
    </row>
    <row r="52" spans="1:16" ht="14" x14ac:dyDescent="0.3">
      <c r="A52" s="80"/>
      <c r="B52" s="84"/>
      <c r="C52" s="84" t="s">
        <v>292</v>
      </c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0"/>
      <c r="P52" s="80"/>
    </row>
    <row r="53" spans="1:16" ht="14" x14ac:dyDescent="0.3">
      <c r="A53" s="80"/>
      <c r="B53" s="84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0"/>
      <c r="P53" s="80"/>
    </row>
    <row r="54" spans="1:16" ht="14" x14ac:dyDescent="0.3">
      <c r="A54" s="80"/>
      <c r="B54" s="88"/>
      <c r="C54" s="88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0"/>
      <c r="P54" s="80"/>
    </row>
    <row r="55" spans="1:16" ht="14" x14ac:dyDescent="0.3">
      <c r="A55" s="80"/>
      <c r="B55" s="80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</row>
    <row r="56" spans="1:16" ht="14" x14ac:dyDescent="0.3">
      <c r="A56" s="80"/>
      <c r="B56" s="80"/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Master"/>
  <dimension ref="A1:H32"/>
  <sheetViews>
    <sheetView topLeftCell="A39" workbookViewId="0">
      <selection activeCell="B2" sqref="B2:B32"/>
    </sheetView>
  </sheetViews>
  <sheetFormatPr defaultColWidth="9" defaultRowHeight="14" x14ac:dyDescent="0.3"/>
  <cols>
    <col min="1" max="1" width="19" style="3" customWidth="1"/>
    <col min="2" max="2" width="22.33203125" style="3" customWidth="1"/>
    <col min="3" max="3" width="22.5" style="3" customWidth="1"/>
    <col min="4" max="4" width="19.33203125" style="3" customWidth="1"/>
    <col min="5" max="5" width="15.75" style="3" customWidth="1"/>
    <col min="6" max="6" width="16" style="3" customWidth="1"/>
    <col min="7" max="7" width="9" style="100"/>
    <col min="8" max="8" width="33.83203125" style="3" customWidth="1"/>
    <col min="9" max="16384" width="9" style="3"/>
  </cols>
  <sheetData>
    <row r="1" spans="1:8" x14ac:dyDescent="0.3">
      <c r="A1" s="4" t="s">
        <v>0</v>
      </c>
      <c r="B1" s="4" t="s">
        <v>2</v>
      </c>
      <c r="C1" s="4" t="s">
        <v>6</v>
      </c>
      <c r="D1" s="4" t="s">
        <v>7</v>
      </c>
      <c r="E1" s="4" t="s">
        <v>8</v>
      </c>
      <c r="F1" s="4" t="s">
        <v>3</v>
      </c>
      <c r="G1" s="98" t="s">
        <v>98</v>
      </c>
      <c r="H1" s="4" t="s">
        <v>159</v>
      </c>
    </row>
    <row r="2" spans="1:8" x14ac:dyDescent="0.3">
      <c r="A2" s="7" t="s">
        <v>160</v>
      </c>
      <c r="B2" s="8" t="s">
        <v>87</v>
      </c>
      <c r="C2" s="7" t="s">
        <v>22</v>
      </c>
      <c r="D2" s="7" t="s">
        <v>23</v>
      </c>
      <c r="E2" s="7" t="s">
        <v>24</v>
      </c>
      <c r="F2" s="7" t="s">
        <v>213</v>
      </c>
      <c r="G2" s="99">
        <v>0.2</v>
      </c>
      <c r="H2" s="7" t="s">
        <v>161</v>
      </c>
    </row>
    <row r="3" spans="1:8" x14ac:dyDescent="0.3">
      <c r="A3" s="7" t="s">
        <v>44</v>
      </c>
      <c r="B3" s="8" t="s">
        <v>10</v>
      </c>
      <c r="C3" s="7" t="s">
        <v>25</v>
      </c>
      <c r="D3" s="7" t="s">
        <v>26</v>
      </c>
      <c r="E3" s="7" t="s">
        <v>27</v>
      </c>
      <c r="F3" s="7" t="s">
        <v>213</v>
      </c>
      <c r="G3" s="99">
        <v>0</v>
      </c>
      <c r="H3" s="7" t="s">
        <v>162</v>
      </c>
    </row>
    <row r="4" spans="1:8" x14ac:dyDescent="0.3">
      <c r="A4" s="7" t="s">
        <v>45</v>
      </c>
      <c r="B4" s="8" t="s">
        <v>11</v>
      </c>
      <c r="C4" s="7" t="s">
        <v>28</v>
      </c>
      <c r="D4" s="7" t="s">
        <v>30</v>
      </c>
      <c r="E4" s="7" t="s">
        <v>29</v>
      </c>
      <c r="F4" s="7"/>
      <c r="G4" s="99">
        <v>0</v>
      </c>
      <c r="H4" s="7" t="s">
        <v>163</v>
      </c>
    </row>
    <row r="5" spans="1:8" x14ac:dyDescent="0.3">
      <c r="A5" s="7" t="s">
        <v>122</v>
      </c>
      <c r="B5" s="8" t="s">
        <v>12</v>
      </c>
      <c r="C5" s="7" t="s">
        <v>31</v>
      </c>
      <c r="D5" s="7" t="s">
        <v>33</v>
      </c>
      <c r="E5" s="7" t="s">
        <v>32</v>
      </c>
      <c r="F5" s="7"/>
      <c r="G5" s="99">
        <v>0</v>
      </c>
      <c r="H5" s="7" t="s">
        <v>164</v>
      </c>
    </row>
    <row r="6" spans="1:8" x14ac:dyDescent="0.3">
      <c r="A6" s="7" t="s">
        <v>46</v>
      </c>
      <c r="B6" s="8" t="s">
        <v>13</v>
      </c>
      <c r="C6" s="7" t="s">
        <v>34</v>
      </c>
      <c r="D6" s="7" t="s">
        <v>33</v>
      </c>
      <c r="E6" s="7" t="s">
        <v>32</v>
      </c>
      <c r="F6" s="7" t="s">
        <v>213</v>
      </c>
      <c r="G6" s="99">
        <v>0</v>
      </c>
      <c r="H6" s="7" t="s">
        <v>165</v>
      </c>
    </row>
    <row r="7" spans="1:8" x14ac:dyDescent="0.3">
      <c r="A7" s="7" t="s">
        <v>125</v>
      </c>
      <c r="B7" s="8" t="s">
        <v>14</v>
      </c>
      <c r="C7" s="7" t="s">
        <v>35</v>
      </c>
      <c r="D7" s="7" t="s">
        <v>33</v>
      </c>
      <c r="E7" s="7" t="s">
        <v>32</v>
      </c>
      <c r="F7" s="7"/>
      <c r="G7" s="99">
        <v>0</v>
      </c>
      <c r="H7" s="7" t="s">
        <v>166</v>
      </c>
    </row>
    <row r="8" spans="1:8" x14ac:dyDescent="0.3">
      <c r="A8" s="7" t="s">
        <v>121</v>
      </c>
      <c r="B8" s="8" t="s">
        <v>15</v>
      </c>
      <c r="C8" s="7" t="s">
        <v>36</v>
      </c>
      <c r="D8" s="7" t="s">
        <v>37</v>
      </c>
      <c r="E8" s="7" t="s">
        <v>38</v>
      </c>
      <c r="F8" s="7"/>
      <c r="G8" s="99">
        <v>0</v>
      </c>
      <c r="H8" s="7" t="s">
        <v>167</v>
      </c>
    </row>
    <row r="9" spans="1:8" x14ac:dyDescent="0.3">
      <c r="A9" s="7" t="s">
        <v>47</v>
      </c>
      <c r="B9" s="8" t="s">
        <v>85</v>
      </c>
      <c r="C9" s="7" t="s">
        <v>39</v>
      </c>
      <c r="D9" s="7" t="s">
        <v>41</v>
      </c>
      <c r="E9" s="7" t="s">
        <v>40</v>
      </c>
      <c r="F9" s="7"/>
      <c r="G9" s="99">
        <v>0</v>
      </c>
      <c r="H9" s="7" t="s">
        <v>168</v>
      </c>
    </row>
    <row r="10" spans="1:8" x14ac:dyDescent="0.3">
      <c r="A10" s="7" t="s">
        <v>48</v>
      </c>
      <c r="B10" s="8" t="s">
        <v>86</v>
      </c>
      <c r="C10" s="7" t="s">
        <v>39</v>
      </c>
      <c r="D10" s="7" t="s">
        <v>41</v>
      </c>
      <c r="E10" s="7" t="s">
        <v>40</v>
      </c>
      <c r="F10" s="7"/>
      <c r="G10" s="99">
        <v>0</v>
      </c>
      <c r="H10" s="7" t="s">
        <v>169</v>
      </c>
    </row>
    <row r="11" spans="1:8" x14ac:dyDescent="0.3">
      <c r="A11" s="7" t="s">
        <v>49</v>
      </c>
      <c r="B11" s="8" t="s">
        <v>18</v>
      </c>
      <c r="C11" s="7" t="s">
        <v>78</v>
      </c>
      <c r="D11" s="7" t="s">
        <v>43</v>
      </c>
      <c r="E11" s="7" t="s">
        <v>42</v>
      </c>
      <c r="F11" s="7" t="s">
        <v>213</v>
      </c>
      <c r="G11" s="99">
        <v>0</v>
      </c>
      <c r="H11" s="7" t="s">
        <v>170</v>
      </c>
    </row>
    <row r="12" spans="1:8" x14ac:dyDescent="0.3">
      <c r="A12" s="7" t="s">
        <v>50</v>
      </c>
      <c r="B12" s="8" t="s">
        <v>189</v>
      </c>
      <c r="C12" s="7" t="s">
        <v>96</v>
      </c>
      <c r="D12" s="7" t="s">
        <v>97</v>
      </c>
      <c r="E12" s="7" t="s">
        <v>99</v>
      </c>
      <c r="F12" s="7" t="s">
        <v>117</v>
      </c>
      <c r="G12" s="99">
        <v>0</v>
      </c>
      <c r="H12" s="7" t="s">
        <v>254</v>
      </c>
    </row>
    <row r="13" spans="1:8" x14ac:dyDescent="0.3">
      <c r="A13" s="7" t="s">
        <v>51</v>
      </c>
      <c r="B13" s="8" t="s">
        <v>16</v>
      </c>
      <c r="C13" s="7" t="s">
        <v>102</v>
      </c>
      <c r="D13" s="7" t="s">
        <v>103</v>
      </c>
      <c r="E13" s="7" t="s">
        <v>100</v>
      </c>
      <c r="F13" s="7" t="s">
        <v>213</v>
      </c>
      <c r="G13" s="99">
        <v>0</v>
      </c>
      <c r="H13" s="7" t="s">
        <v>171</v>
      </c>
    </row>
    <row r="14" spans="1:8" x14ac:dyDescent="0.3">
      <c r="A14" s="7" t="s">
        <v>190</v>
      </c>
      <c r="B14" s="8" t="s">
        <v>191</v>
      </c>
      <c r="C14" s="7" t="s">
        <v>192</v>
      </c>
      <c r="D14" s="7" t="s">
        <v>193</v>
      </c>
      <c r="E14" s="7" t="s">
        <v>57</v>
      </c>
      <c r="F14" s="7" t="s">
        <v>194</v>
      </c>
      <c r="G14" s="99">
        <v>0.2</v>
      </c>
      <c r="H14" s="7" t="s">
        <v>293</v>
      </c>
    </row>
    <row r="15" spans="1:8" x14ac:dyDescent="0.3">
      <c r="A15" s="7" t="s">
        <v>52</v>
      </c>
      <c r="B15" s="8" t="s">
        <v>195</v>
      </c>
      <c r="C15" s="7" t="s">
        <v>101</v>
      </c>
      <c r="D15" s="7" t="s">
        <v>196</v>
      </c>
      <c r="E15" s="7" t="s">
        <v>57</v>
      </c>
      <c r="F15" s="7" t="s">
        <v>113</v>
      </c>
      <c r="G15" s="99">
        <v>0.2</v>
      </c>
      <c r="H15" s="7" t="s">
        <v>172</v>
      </c>
    </row>
    <row r="16" spans="1:8" x14ac:dyDescent="0.3">
      <c r="A16" s="7" t="s">
        <v>197</v>
      </c>
      <c r="B16" s="8" t="s">
        <v>198</v>
      </c>
      <c r="C16" s="7" t="s">
        <v>199</v>
      </c>
      <c r="D16" s="7" t="s">
        <v>200</v>
      </c>
      <c r="E16" s="7" t="s">
        <v>100</v>
      </c>
      <c r="F16" s="7"/>
      <c r="G16" s="99">
        <v>0</v>
      </c>
      <c r="H16" s="7" t="s">
        <v>294</v>
      </c>
    </row>
    <row r="17" spans="1:8" s="7" customFormat="1" x14ac:dyDescent="0.3">
      <c r="A17" s="7" t="s">
        <v>201</v>
      </c>
      <c r="B17" s="8" t="s">
        <v>202</v>
      </c>
      <c r="C17" s="7" t="s">
        <v>203</v>
      </c>
      <c r="D17" s="7" t="s">
        <v>204</v>
      </c>
      <c r="E17" s="7" t="s">
        <v>100</v>
      </c>
      <c r="G17" s="99">
        <v>0</v>
      </c>
      <c r="H17" s="7" t="s">
        <v>295</v>
      </c>
    </row>
    <row r="18" spans="1:8" s="7" customFormat="1" x14ac:dyDescent="0.3">
      <c r="A18" s="7" t="s">
        <v>53</v>
      </c>
      <c r="B18" s="8" t="s">
        <v>17</v>
      </c>
      <c r="C18" s="7" t="s">
        <v>55</v>
      </c>
      <c r="D18" s="7" t="s">
        <v>56</v>
      </c>
      <c r="E18" s="7" t="s">
        <v>57</v>
      </c>
      <c r="F18" s="7" t="s">
        <v>114</v>
      </c>
      <c r="G18" s="99">
        <v>0.2</v>
      </c>
      <c r="H18" s="7" t="s">
        <v>173</v>
      </c>
    </row>
    <row r="19" spans="1:8" s="7" customFormat="1" x14ac:dyDescent="0.3">
      <c r="A19" s="7" t="s">
        <v>93</v>
      </c>
      <c r="B19" s="8" t="s">
        <v>205</v>
      </c>
      <c r="C19" s="7" t="s">
        <v>94</v>
      </c>
      <c r="D19" s="7" t="s">
        <v>95</v>
      </c>
      <c r="E19" s="7" t="s">
        <v>99</v>
      </c>
      <c r="F19" s="7" t="s">
        <v>118</v>
      </c>
      <c r="G19" s="99">
        <v>0.2</v>
      </c>
      <c r="H19" s="7" t="s">
        <v>174</v>
      </c>
    </row>
    <row r="20" spans="1:8" s="7" customFormat="1" x14ac:dyDescent="0.3">
      <c r="A20" s="7" t="s">
        <v>67</v>
      </c>
      <c r="B20" s="8" t="s">
        <v>83</v>
      </c>
      <c r="C20" s="7" t="s">
        <v>60</v>
      </c>
      <c r="D20" s="7" t="s">
        <v>61</v>
      </c>
      <c r="E20" s="7" t="s">
        <v>57</v>
      </c>
      <c r="F20" s="7" t="s">
        <v>115</v>
      </c>
      <c r="G20" s="99">
        <v>0.2</v>
      </c>
      <c r="H20" s="7" t="s">
        <v>175</v>
      </c>
    </row>
    <row r="21" spans="1:8" s="7" customFormat="1" x14ac:dyDescent="0.3">
      <c r="A21" s="7" t="s">
        <v>124</v>
      </c>
      <c r="B21" s="8" t="s">
        <v>18</v>
      </c>
      <c r="C21" s="7" t="s">
        <v>91</v>
      </c>
      <c r="D21" s="7" t="s">
        <v>92</v>
      </c>
      <c r="E21" s="7" t="s">
        <v>99</v>
      </c>
      <c r="F21" s="7" t="s">
        <v>120</v>
      </c>
      <c r="G21" s="99">
        <v>0.2</v>
      </c>
      <c r="H21" s="7" t="s">
        <v>176</v>
      </c>
    </row>
    <row r="22" spans="1:8" s="7" customFormat="1" x14ac:dyDescent="0.3">
      <c r="A22" s="7" t="s">
        <v>54</v>
      </c>
      <c r="B22" s="9" t="s">
        <v>19</v>
      </c>
      <c r="C22" s="7" t="s">
        <v>58</v>
      </c>
      <c r="D22" s="7" t="s">
        <v>59</v>
      </c>
      <c r="E22" s="7" t="s">
        <v>57</v>
      </c>
      <c r="F22" s="7" t="s">
        <v>116</v>
      </c>
      <c r="G22" s="99">
        <v>0.2</v>
      </c>
      <c r="H22" s="7" t="s">
        <v>177</v>
      </c>
    </row>
    <row r="23" spans="1:8" s="7" customFormat="1" x14ac:dyDescent="0.3">
      <c r="A23" s="7" t="s">
        <v>68</v>
      </c>
      <c r="B23" s="8" t="s">
        <v>84</v>
      </c>
      <c r="C23" s="7" t="s">
        <v>69</v>
      </c>
      <c r="D23" s="7" t="s">
        <v>71</v>
      </c>
      <c r="E23" s="7" t="s">
        <v>70</v>
      </c>
      <c r="F23" s="7" t="s">
        <v>104</v>
      </c>
      <c r="G23" s="99">
        <v>0.19</v>
      </c>
      <c r="H23" s="7" t="s">
        <v>178</v>
      </c>
    </row>
    <row r="24" spans="1:8" s="7" customFormat="1" x14ac:dyDescent="0.3">
      <c r="A24" s="3" t="s">
        <v>77</v>
      </c>
      <c r="B24" s="6" t="s">
        <v>206</v>
      </c>
      <c r="C24" s="3" t="s">
        <v>69</v>
      </c>
      <c r="D24" s="3" t="s">
        <v>71</v>
      </c>
      <c r="E24" s="3" t="s">
        <v>70</v>
      </c>
      <c r="F24" s="3" t="s">
        <v>105</v>
      </c>
      <c r="G24" s="100">
        <v>0.19</v>
      </c>
      <c r="H24" s="3" t="s">
        <v>179</v>
      </c>
    </row>
    <row r="25" spans="1:8" s="7" customFormat="1" x14ac:dyDescent="0.3">
      <c r="A25" s="3" t="s">
        <v>72</v>
      </c>
      <c r="B25" s="6" t="s">
        <v>20</v>
      </c>
      <c r="C25" s="3" t="s">
        <v>73</v>
      </c>
      <c r="D25" s="3" t="s">
        <v>74</v>
      </c>
      <c r="E25" s="3" t="s">
        <v>70</v>
      </c>
      <c r="F25" s="3" t="s">
        <v>106</v>
      </c>
      <c r="G25" s="100">
        <v>0.19</v>
      </c>
      <c r="H25" s="3" t="s">
        <v>180</v>
      </c>
    </row>
    <row r="26" spans="1:8" s="7" customFormat="1" x14ac:dyDescent="0.3">
      <c r="A26" s="3" t="s">
        <v>76</v>
      </c>
      <c r="B26" s="6" t="s">
        <v>21</v>
      </c>
      <c r="C26" s="3" t="s">
        <v>75</v>
      </c>
      <c r="D26" s="3" t="s">
        <v>74</v>
      </c>
      <c r="E26" s="3" t="s">
        <v>70</v>
      </c>
      <c r="F26" s="3" t="s">
        <v>107</v>
      </c>
      <c r="G26" s="100">
        <v>0.19</v>
      </c>
      <c r="H26" s="3" t="s">
        <v>181</v>
      </c>
    </row>
    <row r="27" spans="1:8" s="7" customFormat="1" x14ac:dyDescent="0.3">
      <c r="A27" s="3" t="s">
        <v>123</v>
      </c>
      <c r="B27" s="6" t="s">
        <v>88</v>
      </c>
      <c r="C27" s="3" t="s">
        <v>89</v>
      </c>
      <c r="D27" s="3" t="s">
        <v>90</v>
      </c>
      <c r="E27" s="3" t="s">
        <v>99</v>
      </c>
      <c r="F27" s="3" t="s">
        <v>119</v>
      </c>
      <c r="G27" s="100">
        <v>0.19</v>
      </c>
      <c r="H27" s="3" t="s">
        <v>182</v>
      </c>
    </row>
    <row r="28" spans="1:8" s="7" customFormat="1" x14ac:dyDescent="0.3">
      <c r="A28" s="3" t="s">
        <v>62</v>
      </c>
      <c r="B28" s="3" t="s">
        <v>79</v>
      </c>
      <c r="C28" s="3" t="s">
        <v>60</v>
      </c>
      <c r="D28" s="3" t="s">
        <v>61</v>
      </c>
      <c r="E28" s="3" t="s">
        <v>57</v>
      </c>
      <c r="F28" s="3" t="s">
        <v>110</v>
      </c>
      <c r="G28" s="100">
        <v>0.2</v>
      </c>
      <c r="H28" s="3" t="s">
        <v>183</v>
      </c>
    </row>
    <row r="29" spans="1:8" x14ac:dyDescent="0.3">
      <c r="A29" s="3" t="s">
        <v>63</v>
      </c>
      <c r="B29" s="3" t="s">
        <v>80</v>
      </c>
      <c r="C29" s="3" t="s">
        <v>60</v>
      </c>
      <c r="D29" s="3" t="s">
        <v>61</v>
      </c>
      <c r="E29" s="3" t="s">
        <v>57</v>
      </c>
      <c r="F29" s="3" t="s">
        <v>111</v>
      </c>
      <c r="G29" s="100">
        <v>0.2</v>
      </c>
      <c r="H29" s="3" t="s">
        <v>184</v>
      </c>
    </row>
    <row r="30" spans="1:8" x14ac:dyDescent="0.3">
      <c r="A30" s="3" t="s">
        <v>64</v>
      </c>
      <c r="B30" s="3" t="s">
        <v>81</v>
      </c>
      <c r="C30" s="3" t="s">
        <v>60</v>
      </c>
      <c r="D30" s="3" t="s">
        <v>61</v>
      </c>
      <c r="E30" s="3" t="s">
        <v>57</v>
      </c>
      <c r="F30" s="3" t="s">
        <v>112</v>
      </c>
      <c r="G30" s="100">
        <v>0.2</v>
      </c>
      <c r="H30" s="3" t="s">
        <v>185</v>
      </c>
    </row>
    <row r="31" spans="1:8" x14ac:dyDescent="0.3">
      <c r="A31" s="3" t="s">
        <v>65</v>
      </c>
      <c r="B31" s="3" t="s">
        <v>82</v>
      </c>
      <c r="C31" s="3" t="s">
        <v>60</v>
      </c>
      <c r="D31" s="3" t="s">
        <v>61</v>
      </c>
      <c r="E31" s="3" t="s">
        <v>57</v>
      </c>
      <c r="F31" s="3" t="s">
        <v>108</v>
      </c>
      <c r="G31" s="100">
        <v>0.2</v>
      </c>
      <c r="H31" s="3" t="s">
        <v>186</v>
      </c>
    </row>
    <row r="32" spans="1:8" x14ac:dyDescent="0.3">
      <c r="A32" s="3" t="s">
        <v>66</v>
      </c>
      <c r="B32" s="3" t="s">
        <v>17</v>
      </c>
      <c r="C32" s="3" t="s">
        <v>55</v>
      </c>
      <c r="D32" s="3" t="s">
        <v>56</v>
      </c>
      <c r="E32" s="3" t="s">
        <v>57</v>
      </c>
      <c r="F32" s="3" t="s">
        <v>109</v>
      </c>
      <c r="G32" s="100">
        <v>0.2</v>
      </c>
      <c r="H32" s="3" t="s">
        <v>187</v>
      </c>
    </row>
  </sheetData>
  <hyperlinks>
    <hyperlink ref="H14" r:id="rId1" xr:uid="{00000000-0004-0000-0300-000000000000}"/>
    <hyperlink ref="H13" r:id="rId2" xr:uid="{00000000-0004-0000-0300-000001000000}"/>
    <hyperlink ref="H16" r:id="rId3" xr:uid="{00000000-0004-0000-0300-000002000000}"/>
    <hyperlink ref="H17" r:id="rId4" xr:uid="{00000000-0004-0000-0300-000003000000}"/>
  </hyperlinks>
  <pageMargins left="0.7" right="0.7" top="0.75" bottom="0.75" header="0.3" footer="0.3"/>
  <pageSetup paperSize="9" orientation="portrait" horizontalDpi="4294967295" verticalDpi="4294967295" r:id="rId5"/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emp"/>
  <dimension ref="B1:E34"/>
  <sheetViews>
    <sheetView showGridLines="0" zoomScaleNormal="100" workbookViewId="0">
      <selection activeCell="B15" sqref="B15"/>
    </sheetView>
  </sheetViews>
  <sheetFormatPr defaultRowHeight="14" x14ac:dyDescent="0.3"/>
  <cols>
    <col min="1" max="1" width="1.5" customWidth="1"/>
    <col min="2" max="2" width="37.33203125" customWidth="1"/>
    <col min="3" max="3" width="20" customWidth="1"/>
    <col min="4" max="4" width="12.5" customWidth="1"/>
    <col min="5" max="5" width="7.08203125" customWidth="1"/>
  </cols>
  <sheetData>
    <row r="1" spans="2:4" ht="13.5" customHeight="1" x14ac:dyDescent="0.3"/>
    <row r="2" spans="2:4" x14ac:dyDescent="0.3">
      <c r="B2" t="s">
        <v>126</v>
      </c>
    </row>
    <row r="3" spans="2:4" x14ac:dyDescent="0.3">
      <c r="B3" t="s">
        <v>127</v>
      </c>
    </row>
    <row r="4" spans="2:4" x14ac:dyDescent="0.3">
      <c r="B4" t="s">
        <v>128</v>
      </c>
    </row>
    <row r="5" spans="2:4" x14ac:dyDescent="0.3">
      <c r="B5" t="s">
        <v>129</v>
      </c>
    </row>
    <row r="7" spans="2:4" x14ac:dyDescent="0.3">
      <c r="C7" s="25" t="s">
        <v>212</v>
      </c>
      <c r="D7" s="94">
        <v>15074</v>
      </c>
    </row>
    <row r="8" spans="2:4" x14ac:dyDescent="0.3">
      <c r="C8" s="25" t="s">
        <v>9</v>
      </c>
      <c r="D8" s="26">
        <v>44446</v>
      </c>
    </row>
    <row r="9" spans="2:4" x14ac:dyDescent="0.3">
      <c r="C9" s="25" t="s">
        <v>130</v>
      </c>
      <c r="D9" s="25" t="s">
        <v>140</v>
      </c>
    </row>
    <row r="12" spans="2:4" x14ac:dyDescent="0.3">
      <c r="B12" t="s">
        <v>82</v>
      </c>
    </row>
    <row r="13" spans="2:4" x14ac:dyDescent="0.3">
      <c r="B13" t="s">
        <v>65</v>
      </c>
    </row>
    <row r="15" spans="2:4" x14ac:dyDescent="0.3">
      <c r="B15" t="s">
        <v>60</v>
      </c>
    </row>
    <row r="16" spans="2:4" x14ac:dyDescent="0.3">
      <c r="B16" t="s">
        <v>61</v>
      </c>
    </row>
    <row r="17" spans="2:5" x14ac:dyDescent="0.3">
      <c r="B17" t="s">
        <v>57</v>
      </c>
    </row>
    <row r="20" spans="2:5" ht="33.75" customHeight="1" x14ac:dyDescent="0.3">
      <c r="B20" s="31" t="s">
        <v>131</v>
      </c>
      <c r="C20" s="31" t="s">
        <v>132</v>
      </c>
      <c r="D20" s="31" t="s">
        <v>133</v>
      </c>
      <c r="E20" s="31" t="s">
        <v>139</v>
      </c>
    </row>
    <row r="21" spans="2:5" x14ac:dyDescent="0.3">
      <c r="B21" s="27"/>
      <c r="C21" s="33"/>
      <c r="D21" s="29"/>
      <c r="E21" s="30">
        <v>0.2</v>
      </c>
    </row>
    <row r="22" spans="2:5" x14ac:dyDescent="0.3">
      <c r="B22" s="27"/>
      <c r="C22" s="28"/>
      <c r="D22" s="29"/>
      <c r="E22" s="30"/>
    </row>
    <row r="23" spans="2:5" x14ac:dyDescent="0.3">
      <c r="B23" s="27"/>
      <c r="C23" s="28"/>
      <c r="D23" s="29"/>
      <c r="E23" s="30"/>
    </row>
    <row r="24" spans="2:5" x14ac:dyDescent="0.3">
      <c r="B24" s="27"/>
      <c r="C24" s="28"/>
      <c r="D24" s="29"/>
      <c r="E24" s="30"/>
    </row>
    <row r="25" spans="2:5" ht="21.75" customHeight="1" x14ac:dyDescent="0.3">
      <c r="C25" s="1" t="s">
        <v>134</v>
      </c>
      <c r="D25" s="5">
        <f>SUM(D21:D24)</f>
        <v>0</v>
      </c>
    </row>
    <row r="26" spans="2:5" ht="21.75" customHeight="1" x14ac:dyDescent="0.3">
      <c r="C26" s="1" t="s">
        <v>98</v>
      </c>
      <c r="D26" s="5">
        <f>SUMPRODUCT(D21:D24*E21:E24)</f>
        <v>0</v>
      </c>
    </row>
    <row r="27" spans="2:5" ht="21.75" customHeight="1" x14ac:dyDescent="0.35">
      <c r="C27" s="2" t="s">
        <v>135</v>
      </c>
      <c r="D27" s="5">
        <f>D25+D26</f>
        <v>0</v>
      </c>
    </row>
    <row r="28" spans="2:5" ht="34.5" customHeight="1" x14ac:dyDescent="0.3"/>
    <row r="29" spans="2:5" ht="42.75" customHeight="1" x14ac:dyDescent="0.3"/>
    <row r="30" spans="2:5" ht="55.5" customHeight="1" x14ac:dyDescent="0.3"/>
    <row r="31" spans="2:5" x14ac:dyDescent="0.3">
      <c r="B31" t="s">
        <v>136</v>
      </c>
    </row>
    <row r="32" spans="2:5" x14ac:dyDescent="0.3">
      <c r="B32" t="s">
        <v>296</v>
      </c>
    </row>
    <row r="33" spans="2:2" x14ac:dyDescent="0.3">
      <c r="B33" t="s">
        <v>137</v>
      </c>
    </row>
    <row r="34" spans="2:2" x14ac:dyDescent="0.3">
      <c r="B34" t="s">
        <v>138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Calc"/>
  <dimension ref="A1:K59"/>
  <sheetViews>
    <sheetView showGridLines="0" workbookViewId="0">
      <selection activeCell="E3" sqref="E3"/>
    </sheetView>
  </sheetViews>
  <sheetFormatPr defaultRowHeight="14" x14ac:dyDescent="0.3"/>
  <cols>
    <col min="2" max="2" width="13.33203125" customWidth="1"/>
    <col min="3" max="3" width="9.83203125" bestFit="1" customWidth="1"/>
    <col min="4" max="4" width="11.25" bestFit="1" customWidth="1"/>
    <col min="5" max="5" width="13" customWidth="1"/>
  </cols>
  <sheetData>
    <row r="1" spans="1:11" x14ac:dyDescent="0.3">
      <c r="A1" s="20" t="s">
        <v>210</v>
      </c>
      <c r="B1" s="20"/>
      <c r="C1" s="20"/>
      <c r="D1" s="20"/>
      <c r="E1" s="20"/>
      <c r="F1" s="20"/>
      <c r="G1" s="20"/>
      <c r="H1" s="20"/>
      <c r="I1" s="20"/>
      <c r="J1" s="20"/>
    </row>
    <row r="3" spans="1:11" x14ac:dyDescent="0.3">
      <c r="A3" t="s">
        <v>211</v>
      </c>
      <c r="D3" t="s">
        <v>256</v>
      </c>
      <c r="E3" s="21">
        <f ca="1">Dashboard!C1</f>
        <v>44446</v>
      </c>
      <c r="K3" t="s">
        <v>255</v>
      </c>
    </row>
    <row r="5" spans="1:11" x14ac:dyDescent="0.3">
      <c r="B5" s="22" t="s">
        <v>9</v>
      </c>
      <c r="C5" t="s">
        <v>207</v>
      </c>
    </row>
    <row r="6" spans="1:11" x14ac:dyDescent="0.3">
      <c r="A6" s="21"/>
      <c r="B6" s="24">
        <v>42736</v>
      </c>
      <c r="C6" s="23">
        <f ca="1">IF(B6&gt;$E$3,"",SUMIFS(InvoiceTable[Net Amount],InvoiceTable[Invoice Date],"&gt;="&amp;DATE(YEAR(B6),MONTH(B6),1),InvoiceTable[Invoice Date],"&lt;"&amp;DATE(YEAR(B6),MONTH(B6)+1,1),InvoiceTable[Status],"paid"))</f>
        <v>0</v>
      </c>
      <c r="F6" s="21"/>
    </row>
    <row r="7" spans="1:11" x14ac:dyDescent="0.3">
      <c r="B7" s="24">
        <v>42767</v>
      </c>
      <c r="C7" s="23">
        <f ca="1">IF(B7&gt;$E$3,"",SUMIFS(InvoiceTable[Net Amount],InvoiceTable[Invoice Date],"&gt;="&amp;DATE(YEAR(B7),MONTH(B7),1),InvoiceTable[Invoice Date],"&lt;"&amp;DATE(YEAR(B7),MONTH(B7)+1,1),InvoiceTable[Status],"paid"))</f>
        <v>0</v>
      </c>
    </row>
    <row r="8" spans="1:11" x14ac:dyDescent="0.3">
      <c r="B8" s="24">
        <v>42795</v>
      </c>
      <c r="C8" s="23">
        <f ca="1">IF(B8&gt;$E$3,"",SUMIFS(InvoiceTable[Net Amount],InvoiceTable[Invoice Date],"&gt;="&amp;DATE(YEAR(B8),MONTH(B8),1),InvoiceTable[Invoice Date],"&lt;"&amp;DATE(YEAR(B8),MONTH(B8)+1,1),InvoiceTable[Status],"paid"))</f>
        <v>57233.05</v>
      </c>
    </row>
    <row r="9" spans="1:11" x14ac:dyDescent="0.3">
      <c r="B9" s="24">
        <v>42826</v>
      </c>
      <c r="C9" s="23">
        <f ca="1">IF(B9&gt;$E$3,"",SUMIFS(InvoiceTable[Net Amount],InvoiceTable[Invoice Date],"&gt;="&amp;DATE(YEAR(B9),MONTH(B9),1),InvoiceTable[Invoice Date],"&lt;"&amp;DATE(YEAR(B9),MONTH(B9)+1,1),InvoiceTable[Status],"paid"))</f>
        <v>19697.277707547168</v>
      </c>
    </row>
    <row r="10" spans="1:11" x14ac:dyDescent="0.3">
      <c r="B10" s="24">
        <v>42856</v>
      </c>
      <c r="C10" s="23">
        <f ca="1">IF(B10&gt;$E$3,"",SUMIFS(InvoiceTable[Net Amount],InvoiceTable[Invoice Date],"&gt;="&amp;DATE(YEAR(B10),MONTH(B10),1),InvoiceTable[Invoice Date],"&lt;"&amp;DATE(YEAR(B10),MONTH(B10)+1,1),InvoiceTable[Status],"paid"))</f>
        <v>3360</v>
      </c>
    </row>
    <row r="11" spans="1:11" x14ac:dyDescent="0.3">
      <c r="B11" s="24">
        <v>42887</v>
      </c>
      <c r="C11" s="23">
        <f ca="1">IF(B11&gt;$E$3,"",SUMIFS(InvoiceTable[Net Amount],InvoiceTable[Invoice Date],"&gt;="&amp;DATE(YEAR(B11),MONTH(B11),1),InvoiceTable[Invoice Date],"&lt;"&amp;DATE(YEAR(B11),MONTH(B11)+1,1),InvoiceTable[Status],"paid"))</f>
        <v>7000</v>
      </c>
    </row>
    <row r="12" spans="1:11" x14ac:dyDescent="0.3">
      <c r="B12" s="24">
        <v>42917</v>
      </c>
      <c r="C12" s="23">
        <f ca="1">IF(B12&gt;$E$3,"",SUMIFS(InvoiceTable[Net Amount],InvoiceTable[Invoice Date],"&gt;="&amp;DATE(YEAR(B12),MONTH(B12),1),InvoiceTable[Invoice Date],"&lt;"&amp;DATE(YEAR(B12),MONTH(B12)+1,1),InvoiceTable[Status],"paid"))</f>
        <v>0</v>
      </c>
    </row>
    <row r="13" spans="1:11" x14ac:dyDescent="0.3">
      <c r="B13" s="24">
        <v>42948</v>
      </c>
      <c r="C13" s="23">
        <f ca="1">IF(B13&gt;$E$3,"",SUMIFS(InvoiceTable[Net Amount],InvoiceTable[Invoice Date],"&gt;="&amp;DATE(YEAR(B13),MONTH(B13),1),InvoiceTable[Invoice Date],"&lt;"&amp;DATE(YEAR(B13),MONTH(B13)+1,1),InvoiceTable[Status],"paid"))</f>
        <v>5460</v>
      </c>
    </row>
    <row r="14" spans="1:11" x14ac:dyDescent="0.3">
      <c r="B14" s="24">
        <v>42979</v>
      </c>
      <c r="C14" s="23">
        <f ca="1">IF(B14&gt;$E$3,"",SUMIFS(InvoiceTable[Net Amount],InvoiceTable[Invoice Date],"&gt;="&amp;DATE(YEAR(B14),MONTH(B14),1),InvoiceTable[Invoice Date],"&lt;"&amp;DATE(YEAR(B14),MONTH(B14)+1,1),InvoiceTable[Status],"paid"))</f>
        <v>1375</v>
      </c>
    </row>
    <row r="15" spans="1:11" x14ac:dyDescent="0.3">
      <c r="B15" s="24">
        <v>43009</v>
      </c>
      <c r="C15" s="23">
        <f ca="1">IF(B15&gt;$E$3,"",SUMIFS(InvoiceTable[Net Amount],InvoiceTable[Invoice Date],"&gt;="&amp;DATE(YEAR(B15),MONTH(B15),1),InvoiceTable[Invoice Date],"&lt;"&amp;DATE(YEAR(B15),MONTH(B15)+1,1),InvoiceTable[Status],"paid"))</f>
        <v>4000</v>
      </c>
    </row>
    <row r="16" spans="1:11" x14ac:dyDescent="0.3">
      <c r="B16" s="24">
        <v>43040</v>
      </c>
      <c r="C16" s="23">
        <f ca="1">IF(B16&gt;$E$3,"",SUMIFS(InvoiceTable[Net Amount],InvoiceTable[Invoice Date],"&gt;="&amp;DATE(YEAR(B16),MONTH(B16),1),InvoiceTable[Invoice Date],"&lt;"&amp;DATE(YEAR(B16),MONTH(B16)+1,1),InvoiceTable[Status],"paid"))</f>
        <v>840</v>
      </c>
    </row>
    <row r="17" spans="2:3" x14ac:dyDescent="0.3">
      <c r="B17" s="24">
        <v>43070</v>
      </c>
      <c r="C17" s="23">
        <f ca="1">IF(B17&gt;$E$3,"",SUMIFS(InvoiceTable[Net Amount],InvoiceTable[Invoice Date],"&gt;="&amp;DATE(YEAR(B17),MONTH(B17),1),InvoiceTable[Invoice Date],"&lt;"&amp;DATE(YEAR(B17),MONTH(B17)+1,1),InvoiceTable[Status],"paid"))</f>
        <v>3600</v>
      </c>
    </row>
    <row r="18" spans="2:3" x14ac:dyDescent="0.3">
      <c r="B18" s="24">
        <v>43101</v>
      </c>
      <c r="C18" s="23">
        <f ca="1">IF(B18&gt;$E$3,"",SUMIFS(InvoiceTable[Net Amount],InvoiceTable[Invoice Date],"&gt;="&amp;DATE(YEAR(B18),MONTH(B18),1),InvoiceTable[Invoice Date],"&lt;"&amp;DATE(YEAR(B18),MONTH(B18)+1,1),InvoiceTable[Status],"paid"))</f>
        <v>12600</v>
      </c>
    </row>
    <row r="19" spans="2:3" x14ac:dyDescent="0.3">
      <c r="B19" s="24">
        <v>43132</v>
      </c>
      <c r="C19" s="23">
        <f ca="1">IF(B19&gt;$E$3,"",SUMIFS(InvoiceTable[Net Amount],InvoiceTable[Invoice Date],"&gt;="&amp;DATE(YEAR(B19),MONTH(B19),1),InvoiceTable[Invoice Date],"&lt;"&amp;DATE(YEAR(B19),MONTH(B19)+1,1),InvoiceTable[Status],"paid"))</f>
        <v>20600</v>
      </c>
    </row>
    <row r="20" spans="2:3" x14ac:dyDescent="0.3">
      <c r="B20" s="24">
        <v>43160</v>
      </c>
      <c r="C20" s="23">
        <f ca="1">IF(B20&gt;$E$3,"",SUMIFS(InvoiceTable[Net Amount],InvoiceTable[Invoice Date],"&gt;="&amp;DATE(YEAR(B20),MONTH(B20),1),InvoiceTable[Invoice Date],"&lt;"&amp;DATE(YEAR(B20),MONTH(B20)+1,1),InvoiceTable[Status],"paid"))</f>
        <v>0</v>
      </c>
    </row>
    <row r="21" spans="2:3" x14ac:dyDescent="0.3">
      <c r="B21" s="24">
        <v>43191</v>
      </c>
      <c r="C21" s="23">
        <f ca="1">IF(B21&gt;$E$3,"",SUMIFS(InvoiceTable[Net Amount],InvoiceTable[Invoice Date],"&gt;="&amp;DATE(YEAR(B21),MONTH(B21),1),InvoiceTable[Invoice Date],"&lt;"&amp;DATE(YEAR(B21),MONTH(B21)+1,1),InvoiceTable[Status],"paid"))</f>
        <v>0</v>
      </c>
    </row>
    <row r="22" spans="2:3" x14ac:dyDescent="0.3">
      <c r="B22" s="24">
        <v>43221</v>
      </c>
      <c r="C22" s="23">
        <f ca="1">IF(B22&gt;$E$3,"",SUMIFS(InvoiceTable[Net Amount],InvoiceTable[Invoice Date],"&gt;="&amp;DATE(YEAR(B22),MONTH(B22),1),InvoiceTable[Invoice Date],"&lt;"&amp;DATE(YEAR(B22),MONTH(B22)+1,1),InvoiceTable[Status],"paid"))</f>
        <v>0</v>
      </c>
    </row>
    <row r="23" spans="2:3" x14ac:dyDescent="0.3">
      <c r="B23" s="24">
        <v>43252</v>
      </c>
      <c r="C23" s="23">
        <f ca="1">IF(B23&gt;$E$3,"",SUMIFS(InvoiceTable[Net Amount],InvoiceTable[Invoice Date],"&gt;="&amp;DATE(YEAR(B23),MONTH(B23),1),InvoiceTable[Invoice Date],"&lt;"&amp;DATE(YEAR(B23),MONTH(B23)+1,1),InvoiceTable[Status],"paid"))</f>
        <v>0</v>
      </c>
    </row>
    <row r="24" spans="2:3" x14ac:dyDescent="0.3">
      <c r="B24" s="24">
        <v>43282</v>
      </c>
      <c r="C24" s="23">
        <f ca="1">IF(B24&gt;$E$3,"",SUMIFS(InvoiceTable[Net Amount],InvoiceTable[Invoice Date],"&gt;="&amp;DATE(YEAR(B24),MONTH(B24),1),InvoiceTable[Invoice Date],"&lt;"&amp;DATE(YEAR(B24),MONTH(B24)+1,1),InvoiceTable[Status],"paid"))</f>
        <v>0</v>
      </c>
    </row>
    <row r="25" spans="2:3" x14ac:dyDescent="0.3">
      <c r="B25" s="24">
        <v>43313</v>
      </c>
      <c r="C25" s="23">
        <f ca="1">IF(B25&gt;$E$3,"",SUMIFS(InvoiceTable[Net Amount],InvoiceTable[Invoice Date],"&gt;="&amp;DATE(YEAR(B25),MONTH(B25),1),InvoiceTable[Invoice Date],"&lt;"&amp;DATE(YEAR(B25),MONTH(B25)+1,1),InvoiceTable[Status],"paid"))</f>
        <v>0</v>
      </c>
    </row>
    <row r="26" spans="2:3" x14ac:dyDescent="0.3">
      <c r="B26" s="24">
        <v>43344</v>
      </c>
      <c r="C26" s="23">
        <f ca="1">IF(B26&gt;$E$3,"",SUMIFS(InvoiceTable[Net Amount],InvoiceTable[Invoice Date],"&gt;="&amp;DATE(YEAR(B26),MONTH(B26),1),InvoiceTable[Invoice Date],"&lt;"&amp;DATE(YEAR(B26),MONTH(B26)+1,1),InvoiceTable[Status],"paid"))</f>
        <v>0</v>
      </c>
    </row>
    <row r="27" spans="2:3" x14ac:dyDescent="0.3">
      <c r="B27" s="24">
        <v>43374</v>
      </c>
      <c r="C27" s="23">
        <f ca="1">IF(B27&gt;$E$3,"",SUMIFS(InvoiceTable[Net Amount],InvoiceTable[Invoice Date],"&gt;="&amp;DATE(YEAR(B27),MONTH(B27),1),InvoiceTable[Invoice Date],"&lt;"&amp;DATE(YEAR(B27),MONTH(B27)+1,1),InvoiceTable[Status],"paid"))</f>
        <v>0</v>
      </c>
    </row>
    <row r="28" spans="2:3" x14ac:dyDescent="0.3">
      <c r="B28" s="24">
        <v>43405</v>
      </c>
      <c r="C28" s="23">
        <f ca="1">IF(B28&gt;$E$3,"",SUMIFS(InvoiceTable[Net Amount],InvoiceTable[Invoice Date],"&gt;="&amp;DATE(YEAR(B28),MONTH(B28),1),InvoiceTable[Invoice Date],"&lt;"&amp;DATE(YEAR(B28),MONTH(B28)+1,1),InvoiceTable[Status],"paid"))</f>
        <v>0</v>
      </c>
    </row>
    <row r="29" spans="2:3" x14ac:dyDescent="0.3">
      <c r="B29" s="24">
        <v>43435</v>
      </c>
      <c r="C29" s="23">
        <f ca="1">IF(B29&gt;$E$3,"",SUMIFS(InvoiceTable[Net Amount],InvoiceTable[Invoice Date],"&gt;="&amp;DATE(YEAR(B29),MONTH(B29),1),InvoiceTable[Invoice Date],"&lt;"&amp;DATE(YEAR(B29),MONTH(B29)+1,1),InvoiceTable[Status],"paid"))</f>
        <v>0</v>
      </c>
    </row>
    <row r="30" spans="2:3" x14ac:dyDescent="0.3">
      <c r="B30" s="24">
        <v>43466</v>
      </c>
      <c r="C30" s="23">
        <f ca="1">IF(B30&gt;$E$3,"",SUMIFS(InvoiceTable[Net Amount],InvoiceTable[Invoice Date],"&gt;="&amp;DATE(YEAR(B30),MONTH(B30),1),InvoiceTable[Invoice Date],"&lt;"&amp;DATE(YEAR(B30),MONTH(B30)+1,1),InvoiceTable[Status],"paid"))</f>
        <v>0</v>
      </c>
    </row>
    <row r="31" spans="2:3" x14ac:dyDescent="0.3">
      <c r="B31" s="24">
        <v>43497</v>
      </c>
      <c r="C31" s="23">
        <f ca="1">IF(B31&gt;$E$3,"",SUMIFS(InvoiceTable[Net Amount],InvoiceTable[Invoice Date],"&gt;="&amp;DATE(YEAR(B31),MONTH(B31),1),InvoiceTable[Invoice Date],"&lt;"&amp;DATE(YEAR(B31),MONTH(B31)+1,1),InvoiceTable[Status],"paid"))</f>
        <v>0</v>
      </c>
    </row>
    <row r="32" spans="2:3" x14ac:dyDescent="0.3">
      <c r="B32" s="24">
        <v>43525</v>
      </c>
      <c r="C32" s="23">
        <f ca="1">IF(B32&gt;$E$3,"",SUMIFS(InvoiceTable[Net Amount],InvoiceTable[Invoice Date],"&gt;="&amp;DATE(YEAR(B32),MONTH(B32),1),InvoiceTable[Invoice Date],"&lt;"&amp;DATE(YEAR(B32),MONTH(B32)+1,1),InvoiceTable[Status],"paid"))</f>
        <v>0</v>
      </c>
    </row>
    <row r="33" spans="2:3" x14ac:dyDescent="0.3">
      <c r="B33" s="24">
        <v>43556</v>
      </c>
      <c r="C33" s="23">
        <f ca="1">IF(B33&gt;$E$3,"",SUMIFS(InvoiceTable[Net Amount],InvoiceTable[Invoice Date],"&gt;="&amp;DATE(YEAR(B33),MONTH(B33),1),InvoiceTable[Invoice Date],"&lt;"&amp;DATE(YEAR(B33),MONTH(B33)+1,1),InvoiceTable[Status],"paid"))</f>
        <v>0</v>
      </c>
    </row>
    <row r="34" spans="2:3" x14ac:dyDescent="0.3">
      <c r="B34" s="24">
        <v>43586</v>
      </c>
      <c r="C34" s="23">
        <f ca="1">IF(B34&gt;$E$3,"",SUMIFS(InvoiceTable[Net Amount],InvoiceTable[Invoice Date],"&gt;="&amp;DATE(YEAR(B34),MONTH(B34),1),InvoiceTable[Invoice Date],"&lt;"&amp;DATE(YEAR(B34),MONTH(B34)+1,1),InvoiceTable[Status],"paid"))</f>
        <v>0</v>
      </c>
    </row>
    <row r="35" spans="2:3" x14ac:dyDescent="0.3">
      <c r="B35" s="24">
        <v>43617</v>
      </c>
      <c r="C35" s="23">
        <f ca="1">IF(B35&gt;$E$3,"",SUMIFS(InvoiceTable[Net Amount],InvoiceTable[Invoice Date],"&gt;="&amp;DATE(YEAR(B35),MONTH(B35),1),InvoiceTable[Invoice Date],"&lt;"&amp;DATE(YEAR(B35),MONTH(B35)+1,1),InvoiceTable[Status],"paid"))</f>
        <v>0</v>
      </c>
    </row>
    <row r="36" spans="2:3" x14ac:dyDescent="0.3">
      <c r="B36" s="24">
        <v>43647</v>
      </c>
      <c r="C36" s="23">
        <f ca="1">IF(B36&gt;$E$3,"",SUMIFS(InvoiceTable[Net Amount],InvoiceTable[Invoice Date],"&gt;="&amp;DATE(YEAR(B36),MONTH(B36),1),InvoiceTable[Invoice Date],"&lt;"&amp;DATE(YEAR(B36),MONTH(B36)+1,1),InvoiceTable[Status],"paid"))</f>
        <v>0</v>
      </c>
    </row>
    <row r="37" spans="2:3" x14ac:dyDescent="0.3">
      <c r="B37" s="24">
        <v>43678</v>
      </c>
      <c r="C37" s="23">
        <f ca="1">IF(B37&gt;$E$3,"",SUMIFS(InvoiceTable[Net Amount],InvoiceTable[Invoice Date],"&gt;="&amp;DATE(YEAR(B37),MONTH(B37),1),InvoiceTable[Invoice Date],"&lt;"&amp;DATE(YEAR(B37),MONTH(B37)+1,1),InvoiceTable[Status],"paid"))</f>
        <v>0</v>
      </c>
    </row>
    <row r="38" spans="2:3" x14ac:dyDescent="0.3">
      <c r="B38" s="24">
        <v>43709</v>
      </c>
      <c r="C38" s="23">
        <f ca="1">IF(B38&gt;$E$3,"",SUMIFS(InvoiceTable[Net Amount],InvoiceTable[Invoice Date],"&gt;="&amp;DATE(YEAR(B38),MONTH(B38),1),InvoiceTable[Invoice Date],"&lt;"&amp;DATE(YEAR(B38),MONTH(B38)+1,1),InvoiceTable[Status],"paid"))</f>
        <v>0</v>
      </c>
    </row>
    <row r="39" spans="2:3" x14ac:dyDescent="0.3">
      <c r="B39" s="24">
        <v>43739</v>
      </c>
      <c r="C39" s="23">
        <f ca="1">IF(B39&gt;$E$3,"",SUMIFS(InvoiceTable[Net Amount],InvoiceTable[Invoice Date],"&gt;="&amp;DATE(YEAR(B39),MONTH(B39),1),InvoiceTable[Invoice Date],"&lt;"&amp;DATE(YEAR(B39),MONTH(B39)+1,1),InvoiceTable[Status],"paid"))</f>
        <v>0</v>
      </c>
    </row>
    <row r="40" spans="2:3" x14ac:dyDescent="0.3">
      <c r="B40" s="24">
        <v>43770</v>
      </c>
      <c r="C40" s="23">
        <f ca="1">IF(B40&gt;$E$3,"",SUMIFS(InvoiceTable[Net Amount],InvoiceTable[Invoice Date],"&gt;="&amp;DATE(YEAR(B40),MONTH(B40),1),InvoiceTable[Invoice Date],"&lt;"&amp;DATE(YEAR(B40),MONTH(B40)+1,1),InvoiceTable[Status],"paid"))</f>
        <v>0</v>
      </c>
    </row>
    <row r="41" spans="2:3" x14ac:dyDescent="0.3">
      <c r="B41" s="24">
        <v>43800</v>
      </c>
      <c r="C41" s="23">
        <f ca="1">IF(B41&gt;$E$3,"",SUMIFS(InvoiceTable[Net Amount],InvoiceTable[Invoice Date],"&gt;="&amp;DATE(YEAR(B41),MONTH(B41),1),InvoiceTable[Invoice Date],"&lt;"&amp;DATE(YEAR(B41),MONTH(B41)+1,1),InvoiceTable[Status],"paid"))</f>
        <v>0</v>
      </c>
    </row>
    <row r="42" spans="2:3" x14ac:dyDescent="0.3">
      <c r="B42" s="24">
        <v>43831</v>
      </c>
      <c r="C42" s="23">
        <f ca="1">IF(B42&gt;$E$3,"",SUMIFS(InvoiceTable[Net Amount],InvoiceTable[Invoice Date],"&gt;="&amp;DATE(YEAR(B42),MONTH(B42),1),InvoiceTable[Invoice Date],"&lt;"&amp;DATE(YEAR(B42),MONTH(B42)+1,1),InvoiceTable[Status],"paid"))</f>
        <v>0</v>
      </c>
    </row>
    <row r="43" spans="2:3" x14ac:dyDescent="0.3">
      <c r="B43" s="24">
        <v>43862</v>
      </c>
      <c r="C43" s="23">
        <f ca="1">IF(B43&gt;$E$3,"",SUMIFS(InvoiceTable[Net Amount],InvoiceTable[Invoice Date],"&gt;="&amp;DATE(YEAR(B43),MONTH(B43),1),InvoiceTable[Invoice Date],"&lt;"&amp;DATE(YEAR(B43),MONTH(B43)+1,1),InvoiceTable[Status],"paid"))</f>
        <v>0</v>
      </c>
    </row>
    <row r="44" spans="2:3" x14ac:dyDescent="0.3">
      <c r="B44" s="24">
        <v>43891</v>
      </c>
      <c r="C44" s="23">
        <f ca="1">IF(B44&gt;$E$3,"",SUMIFS(InvoiceTable[Net Amount],InvoiceTable[Invoice Date],"&gt;="&amp;DATE(YEAR(B44),MONTH(B44),1),InvoiceTable[Invoice Date],"&lt;"&amp;DATE(YEAR(B44),MONTH(B44)+1,1),InvoiceTable[Status],"paid"))</f>
        <v>0</v>
      </c>
    </row>
    <row r="45" spans="2:3" x14ac:dyDescent="0.3">
      <c r="B45" s="24">
        <v>43922</v>
      </c>
      <c r="C45" s="23">
        <f ca="1">IF(B45&gt;$E$3,"",SUMIFS(InvoiceTable[Net Amount],InvoiceTable[Invoice Date],"&gt;="&amp;DATE(YEAR(B45),MONTH(B45),1),InvoiceTable[Invoice Date],"&lt;"&amp;DATE(YEAR(B45),MONTH(B45)+1,1),InvoiceTable[Status],"paid"))</f>
        <v>0</v>
      </c>
    </row>
    <row r="46" spans="2:3" x14ac:dyDescent="0.3">
      <c r="B46" s="24">
        <v>43952</v>
      </c>
      <c r="C46" s="23">
        <f ca="1">IF(B46&gt;$E$3,"",SUMIFS(InvoiceTable[Net Amount],InvoiceTable[Invoice Date],"&gt;="&amp;DATE(YEAR(B46),MONTH(B46),1),InvoiceTable[Invoice Date],"&lt;"&amp;DATE(YEAR(B46),MONTH(B46)+1,1),InvoiceTable[Status],"paid"))</f>
        <v>0</v>
      </c>
    </row>
    <row r="47" spans="2:3" x14ac:dyDescent="0.3">
      <c r="B47" s="24">
        <v>43983</v>
      </c>
      <c r="C47" s="23">
        <f ca="1">IF(B47&gt;$E$3,"",SUMIFS(InvoiceTable[Net Amount],InvoiceTable[Invoice Date],"&gt;="&amp;DATE(YEAR(B47),MONTH(B47),1),InvoiceTable[Invoice Date],"&lt;"&amp;DATE(YEAR(B47),MONTH(B47)+1,1),InvoiceTable[Status],"paid"))</f>
        <v>0</v>
      </c>
    </row>
    <row r="48" spans="2:3" x14ac:dyDescent="0.3">
      <c r="B48" s="24">
        <v>44013</v>
      </c>
      <c r="C48" s="23">
        <f ca="1">IF(B48&gt;$E$3,"",SUMIFS(InvoiceTable[Net Amount],InvoiceTable[Invoice Date],"&gt;="&amp;DATE(YEAR(B48),MONTH(B48),1),InvoiceTable[Invoice Date],"&lt;"&amp;DATE(YEAR(B48),MONTH(B48)+1,1),InvoiceTable[Status],"paid"))</f>
        <v>0</v>
      </c>
    </row>
    <row r="49" spans="2:3" x14ac:dyDescent="0.3">
      <c r="B49" s="24">
        <v>44044</v>
      </c>
      <c r="C49" s="23">
        <f ca="1">IF(B49&gt;$E$3,"",SUMIFS(InvoiceTable[Net Amount],InvoiceTable[Invoice Date],"&gt;="&amp;DATE(YEAR(B49),MONTH(B49),1),InvoiceTable[Invoice Date],"&lt;"&amp;DATE(YEAR(B49),MONTH(B49)+1,1),InvoiceTable[Status],"paid"))</f>
        <v>0</v>
      </c>
    </row>
    <row r="50" spans="2:3" x14ac:dyDescent="0.3">
      <c r="B50" s="24">
        <v>44075</v>
      </c>
      <c r="C50" s="23">
        <f ca="1">IF(B50&gt;$E$3,"",SUMIFS(InvoiceTable[Net Amount],InvoiceTable[Invoice Date],"&gt;="&amp;DATE(YEAR(B50),MONTH(B50),1),InvoiceTable[Invoice Date],"&lt;"&amp;DATE(YEAR(B50),MONTH(B50)+1,1),InvoiceTable[Status],"paid"))</f>
        <v>0</v>
      </c>
    </row>
    <row r="51" spans="2:3" x14ac:dyDescent="0.3">
      <c r="B51" s="24">
        <v>44105</v>
      </c>
      <c r="C51" s="23">
        <f ca="1">IF(B51&gt;$E$3,"",SUMIFS(InvoiceTable[Net Amount],InvoiceTable[Invoice Date],"&gt;="&amp;DATE(YEAR(B51),MONTH(B51),1),InvoiceTable[Invoice Date],"&lt;"&amp;DATE(YEAR(B51),MONTH(B51)+1,1),InvoiceTable[Status],"paid"))</f>
        <v>0</v>
      </c>
    </row>
    <row r="52" spans="2:3" x14ac:dyDescent="0.3">
      <c r="B52" s="24">
        <v>44136</v>
      </c>
      <c r="C52" s="23">
        <f ca="1">IF(B52&gt;$E$3,"",SUMIFS(InvoiceTable[Net Amount],InvoiceTable[Invoice Date],"&gt;="&amp;DATE(YEAR(B52),MONTH(B52),1),InvoiceTable[Invoice Date],"&lt;"&amp;DATE(YEAR(B52),MONTH(B52)+1,1),InvoiceTable[Status],"paid"))</f>
        <v>0</v>
      </c>
    </row>
    <row r="53" spans="2:3" x14ac:dyDescent="0.3">
      <c r="B53" s="24">
        <v>44166</v>
      </c>
      <c r="C53" s="23">
        <f ca="1">IF(B53&gt;$E$3,"",SUMIFS(InvoiceTable[Net Amount],InvoiceTable[Invoice Date],"&gt;="&amp;DATE(YEAR(B53),MONTH(B53),1),InvoiceTable[Invoice Date],"&lt;"&amp;DATE(YEAR(B53),MONTH(B53)+1,1),InvoiceTable[Status],"paid"))</f>
        <v>0</v>
      </c>
    </row>
    <row r="54" spans="2:3" x14ac:dyDescent="0.3">
      <c r="B54" s="21"/>
    </row>
    <row r="55" spans="2:3" x14ac:dyDescent="0.3">
      <c r="B55" s="21"/>
    </row>
    <row r="56" spans="2:3" x14ac:dyDescent="0.3">
      <c r="B56" s="21"/>
    </row>
    <row r="57" spans="2:3" x14ac:dyDescent="0.3">
      <c r="B57" s="21"/>
    </row>
    <row r="58" spans="2:3" x14ac:dyDescent="0.3">
      <c r="B58" s="21"/>
    </row>
    <row r="59" spans="2:3" x14ac:dyDescent="0.3">
      <c r="B59" s="21"/>
    </row>
  </sheetData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6039B5-E5B8-4E5A-A1DF-B7EE8D6BB0C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Dashboard</vt:lpstr>
      <vt:lpstr>Invoice</vt:lpstr>
      <vt:lpstr>Instructions</vt:lpstr>
      <vt:lpstr>Masterdata</vt:lpstr>
      <vt:lpstr>Template</vt:lpstr>
      <vt:lpstr>Calculation</vt:lpstr>
      <vt:lpstr>ExcelPath</vt:lpstr>
      <vt:lpstr>myCompany</vt:lpstr>
      <vt:lpstr>mycustomer</vt:lpstr>
      <vt:lpstr>PDFPath</vt:lpstr>
      <vt:lpstr>Template!Print_Area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Invoice template for Excel VBA course on Udemy.com. Find out more on www.xelplus.com\courses</dc:description>
  <cp:lastModifiedBy>You, Ran</cp:lastModifiedBy>
  <cp:lastPrinted>2017-12-21T12:43:58Z</cp:lastPrinted>
  <dcterms:created xsi:type="dcterms:W3CDTF">2017-10-05T08:02:23Z</dcterms:created>
  <dcterms:modified xsi:type="dcterms:W3CDTF">2021-09-07T21:48:03Z</dcterms:modified>
</cp:coreProperties>
</file>