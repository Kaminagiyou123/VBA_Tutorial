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C22FA2C9-0C4A-4767-88A0-5D89230435C4}" xr6:coauthVersionLast="36" xr6:coauthVersionMax="36" xr10:uidLastSave="{00000000-0000-0000-0000-000000000000}"/>
  <bookViews>
    <workbookView xWindow="0" yWindow="0" windowWidth="19200" windowHeight="8250" activeTab="1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myCompany">CustomerTable[Company]</definedName>
    <definedName name="mycustomer">CustomerTable[Customer]</definedName>
    <definedName name="_xlnm.Print_Area" localSheetId="4">Template!$A$1:$E$35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0" i="1" l="1"/>
  <c r="T40" i="1"/>
  <c r="U40" i="1" s="1"/>
  <c r="X40" i="1"/>
  <c r="AA40" i="1"/>
  <c r="AB40" i="1"/>
  <c r="R39" i="1"/>
  <c r="T39" i="1" s="1"/>
  <c r="X39" i="1"/>
  <c r="AB39" i="1" l="1"/>
  <c r="AA39" i="1"/>
  <c r="U39" i="1" s="1"/>
  <c r="C1" i="5"/>
  <c r="E3" i="9" l="1"/>
  <c r="C2" i="5"/>
  <c r="R29" i="1" l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X29" i="1"/>
  <c r="X30" i="1"/>
  <c r="X31" i="1"/>
  <c r="X32" i="1"/>
  <c r="X33" i="1"/>
  <c r="X34" i="1"/>
  <c r="X35" i="1"/>
  <c r="X36" i="1"/>
  <c r="X37" i="1"/>
  <c r="X38" i="1"/>
  <c r="T38" i="1" l="1"/>
  <c r="AA38" i="1" s="1"/>
  <c r="U38" i="1" s="1"/>
  <c r="AB33" i="1"/>
  <c r="T31" i="1"/>
  <c r="AA31" i="1" s="1"/>
  <c r="U31" i="1" s="1"/>
  <c r="AB37" i="1"/>
  <c r="T29" i="1"/>
  <c r="AA29" i="1" s="1"/>
  <c r="U29" i="1" s="1"/>
  <c r="AB35" i="1"/>
  <c r="T34" i="1"/>
  <c r="AA34" i="1" s="1"/>
  <c r="U34" i="1" s="1"/>
  <c r="AA30" i="1"/>
  <c r="U30" i="1" s="1"/>
  <c r="AB30" i="1"/>
  <c r="AB36" i="1"/>
  <c r="AB32" i="1"/>
  <c r="AA36" i="1"/>
  <c r="U36" i="1" s="1"/>
  <c r="AA32" i="1"/>
  <c r="U32" i="1" s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C25" i="9"/>
  <c r="T28" i="1" l="1"/>
  <c r="AA28" i="1" s="1"/>
  <c r="U28" i="1" s="1"/>
  <c r="D27" i="4"/>
  <c r="T27" i="1"/>
  <c r="AA27" i="1" s="1"/>
  <c r="U27" i="1" s="1"/>
  <c r="T26" i="1"/>
  <c r="AA26" i="1" s="1"/>
  <c r="U26" i="1" s="1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C6" i="9"/>
  <c r="C18" i="9" l="1"/>
  <c r="C17" i="9"/>
  <c r="C16" i="9"/>
  <c r="R9" i="1"/>
  <c r="T9" i="1" s="1"/>
  <c r="R10" i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<sst xmlns="http://schemas.openxmlformats.org/spreadsheetml/2006/main" count="564" uniqueCount="301">
  <si>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</si>
  <si>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</si>
  <si>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</si>
  <si>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</si>
  <si>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</si>
  <si>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</si>
  <si>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</si>
  <si>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</si>
  <si>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</si>
  <si>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</si>
  <si>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</si>
  <si>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</si>
  <si>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</si>
  <si>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</si>
  <si>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</si>
  <si>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</si>
  <si>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</si>
  <si>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</si>
  <si>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</si>
  <si>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</si>
  <si>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</si>
  <si>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</si>
  <si>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</si>
  <si>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</si>
  <si>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</si>
  <si>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</si>
  <si>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</si>
  <si>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</si>
  <si>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</si>
  <si>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</si>
  <si>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</si>
  <si>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</si>
  <si>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</si>
  <si>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</si>
  <si>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</si>
  <si>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</si>
  <si>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</si>
  <si>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</si>
  <si>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</si>
  <si>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</si>
  <si>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</si>
  <si>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</si>
  <si>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</si>
  <si>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</si>
  <si>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</si>
  <si>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</si>
  <si>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</si>
  <si>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</si>
  <si>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</si>
  <si>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</si>
  <si>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</si>
  <si>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</si>
  <si>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</si>
  <si>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</si>
  <si>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</si>
  <si>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</si>
  <si>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</si>
  <si>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</si>
  <si>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</si>
  <si>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</si>
  <si>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</si>
  <si>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</si>
  <si>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</si>
  <si>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</si>
  <si>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</si>
  <si>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</si>
  <si>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</si>
  <si>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</si>
  <si>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</si>
  <si>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</si>
  <si>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</si>
  <si>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</si>
  <si>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</si>
  <si>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</si>
  <si>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</si>
  <si>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</si>
  <si>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</si>
  <si>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</si>
  <si>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</si>
  <si>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</si>
  <si>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</si>
  <si>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</si>
  <si>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</si>
  <si>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</si>
  <si>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</si>
  <si>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</si>
  <si>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</si>
  <si>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</si>
  <si>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</si>
  <si>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</si>
  <si>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</si>
  <si>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</si>
  <si>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</si>
  <si>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</si>
  <si>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</si>
  <si>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</si>
  <si>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</si>
  <si>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</si>
  <si>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</si>
  <si>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</si>
  <si>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</si>
  <si>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</si>
  <si>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</si>
  <si>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</si>
  <si>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</si>
  <si>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</si>
  <si>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</si>
  <si>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</si>
  <si>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</si>
  <si>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</si>
  <si>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</si>
  <si>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</si>
  <si>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</si>
  <si>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</si>
  <si>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</si>
  <si>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</si>
  <si>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</si>
  <si>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</si>
  <si>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</si>
  <si>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</si>
  <si>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</si>
  <si>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</si>
  <si>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</si>
  <si>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</si>
  <si>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</si>
  <si>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</si>
  <si>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</si>
  <si>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</si>
  <si>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</si>
  <si>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</si>
  <si>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</si>
  <si>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</si>
  <si>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</si>
  <si>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</si>
  <si>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</si>
  <si>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</si>
  <si>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</si>
  <si>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</si>
  <si>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</si>
  <si>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</si>
  <si>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</si>
  <si>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</si>
  <si>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</si>
  <si>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</si>
  <si>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</si>
  <si>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</si>
  <si>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</si>
  <si>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</si>
  <si>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</si>
  <si>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</si>
  <si>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</si>
  <si>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</si>
  <si>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</si>
  <si>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</si>
  <si>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</si>
  <si>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</si>
  <si>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</si>
  <si>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</si>
  <si>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</si>
  <si>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</si>
  <si>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</si>
  <si>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</si>
  <si>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</si>
  <si>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</si>
  <si>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</si>
  <si>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</si>
  <si>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</si>
  <si>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</si>
  <si>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</si>
  <si>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</si>
  <si>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</si>
  <si>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</si>
  <si>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</si>
  <si>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</si>
  <si>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</si>
  <si>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</si>
  <si>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</si>
  <si>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</si>
  <si>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</si>
  <si>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</si>
  <si>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</si>
  <si>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</si>
  <si>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</si>
  <si>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</si>
  <si>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</si>
  <si>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</si>
  <si>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</si>
  <si>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</si>
  <si>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</si>
  <si>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</si>
  <si>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</si>
  <si>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</si>
  <si>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</si>
  <si>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</si>
  <si>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</si>
  <si>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</si>
  <si>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</si>
  <si>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</si>
  <si>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</si>
  <si>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</si>
  <si>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</si>
  <si>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</si>
  <si>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</si>
  <si>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</si>
  <si>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</si>
  <si>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</si>
  <si>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</si>
  <si>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</si>
  <si>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</si>
  <si>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</si>
  <si>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</si>
  <si>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</si>
  <si>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</si>
  <si>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</si>
  <si>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</si>
  <si>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</si>
  <si>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</si>
  <si>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</si>
  <si>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</si>
  <si>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</si>
  <si>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</si>
  <si>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</si>
  <si>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</si>
  <si>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</si>
  <si>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</si>
  <si>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</si>
  <si>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</si>
  <si>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</si>
  <si>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</si>
  <si>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</si>
  <si>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</si>
  <si>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</si>
  <si>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</si>
  <si>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</si>
  <si>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</si>
  <si>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</si>
  <si>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</si>
  <si>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</si>
  <si>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</si>
  <si>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</si>
  <si>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</si>
  <si>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</si>
  <si>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</si>
  <si>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</si>
  <si>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</si>
  <si>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</si>
  <si>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</si>
  <si>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</si>
  <si>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</si>
  <si>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</si>
  <si>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</si>
  <si>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</si>
  <si>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</si>
  <si>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</si>
  <si>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</si>
  <si>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</si>
  <si>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</si>
  <si>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</si>
  <si>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</si>
  <si>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</si>
  <si>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</si>
  <si>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</si>
  <si>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</si>
  <si>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</si>
  <si>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</si>
  <si>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</si>
  <si>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</si>
  <si>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</si>
  <si>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</si>
  <si>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</si>
  <si>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</si>
  <si>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</si>
  <si>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</si>
  <si>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</si>
  <si>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</si>
  <si>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</si>
  <si>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</si>
  <si>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</si>
  <si>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</si>
  <si>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</si>
  <si>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</si>
  <si>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</si>
  <si>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</si>
  <si>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</si>
  <si>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</si>
  <si>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</si>
  <si>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</si>
  <si>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</si>
  <si>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</si>
  <si>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</si>
  <si>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</si>
  <si>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</si>
  <si>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</si>
  <si>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</si>
  <si>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</si>
  <si>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</si>
  <si>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</si>
  <si>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</si>
  <si>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</si>
  <si>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</si>
  <si>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Type and Enter to select customer or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</si>
</sst>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2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2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0" fontId="3" fillId="2" borderId="0" xfId="0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9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7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8" fillId="8" borderId="7" xfId="0" quotePrefix="1" applyFont="1" applyFill="1" applyBorder="1"/>
    <xf numFmtId="0" fontId="18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0" fillId="8" borderId="7" xfId="0" applyFont="1" applyFill="1" applyBorder="1"/>
    <xf numFmtId="0" fontId="20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13" fillId="7" borderId="0" xfId="0" applyNumberFormat="1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989541</xdr:colOff>
      <xdr:row>17</xdr:row>
      <xdr:rowOff>123824</xdr:rowOff>
    </xdr:from>
    <xdr:to>
      <xdr:col>8</xdr:col>
      <xdr:colOff>189440</xdr:colOff>
      <xdr:row>19</xdr:row>
      <xdr:rowOff>100540</xdr:rowOff>
    </xdr:to>
    <xdr:pic>
      <xdr:nvPicPr>
        <xdr:cNvPr id="22" name="Graphic 21" descr="Penci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11874" y="3642783"/>
          <a:ext cx="342899" cy="3153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584200</xdr:colOff>
          <xdr:row>14</xdr:row>
          <xdr:rowOff>158750</xdr:rowOff>
        </xdr:from>
        <xdr:to>
          <xdr:col>9</xdr:col>
          <xdr:colOff>374650</xdr:colOff>
          <xdr:row>16</xdr:row>
          <xdr:rowOff>158750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Add Customer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320675</xdr:colOff>
      <xdr:row>14</xdr:row>
      <xdr:rowOff>44449</xdr:rowOff>
    </xdr:from>
    <xdr:to>
      <xdr:col>8</xdr:col>
      <xdr:colOff>787399</xdr:colOff>
      <xdr:row>17</xdr:row>
      <xdr:rowOff>7056</xdr:rowOff>
    </xdr:to>
    <xdr:pic>
      <xdr:nvPicPr>
        <xdr:cNvPr id="12" name="Graphic 11" descr="Employee Badg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71897" y="3099505"/>
          <a:ext cx="466724" cy="491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641350</xdr:colOff>
          <xdr:row>18</xdr:row>
          <xdr:rowOff>76200</xdr:rowOff>
        </xdr:from>
        <xdr:to>
          <xdr:col>9</xdr:col>
          <xdr:colOff>361950</xdr:colOff>
          <xdr:row>20</xdr:row>
          <xdr:rowOff>38100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Master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57979</xdr:colOff>
      <xdr:row>0</xdr:row>
      <xdr:rowOff>114300</xdr:rowOff>
    </xdr:from>
    <xdr:to>
      <xdr:col>1</xdr:col>
      <xdr:colOff>610429</xdr:colOff>
      <xdr:row>3</xdr:row>
      <xdr:rowOff>257175</xdr:rowOff>
    </xdr:to>
    <xdr:pic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9" y="114300"/>
          <a:ext cx="742950" cy="657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40" totalsRowShown="0" headerRowDxfId="39" dataDxfId="37" headerRowBorderDxfId="38">
  <autoFilter ref="B7:AB40" xr:uid="{00000000-0009-0000-0100-000002000000}"/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90" zoomScaleNormal="90" workbookViewId="0">
      <selection activeCell="I16" sqref="I16"/>
    </sheetView>
  </sheetViews>
  <sheetFormatPr defaultColWidth="0" defaultRowHeight="14" zeroHeight="1" x14ac:dyDescent="0.3"/>
  <cols>
    <col min="1" max="1" width="1.58203125" customWidth="1"/>
    <col min="2" max="2" width="2.3320312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">
      <c r="A1" s="11"/>
      <c r="B1" s="11"/>
      <c r="C1" s="79">
        <f ca="1">TODAY()</f>
        <v>44445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4.25" customHeight="1" x14ac:dyDescent="0.3">
      <c r="A2" s="11"/>
      <c r="B2" s="11"/>
      <c r="C2" s="101">
        <f ca="1">YEAR(C1)</f>
        <v>2021</v>
      </c>
      <c r="D2" s="13"/>
      <c r="E2" s="13"/>
      <c r="F2" s="13"/>
      <c r="G2" s="11"/>
      <c r="H2" s="13"/>
      <c r="I2" s="13"/>
      <c r="J2" s="13"/>
      <c r="K2" s="11"/>
      <c r="L2" s="13"/>
      <c r="M2" s="13"/>
      <c r="N2" s="13"/>
      <c r="O2" s="11"/>
      <c r="P2" s="11"/>
      <c r="Q2" s="11"/>
      <c r="R2" s="11"/>
      <c r="S2" s="11"/>
      <c r="T2" s="11"/>
      <c r="U2" s="11"/>
      <c r="V2" s="11"/>
    </row>
    <row r="3" spans="1:22" ht="17.25" customHeight="1" x14ac:dyDescent="0.3">
      <c r="A3" s="11"/>
      <c r="B3" s="11"/>
      <c r="C3" s="101"/>
      <c r="D3" s="17" t="s">
        <v>207</v>
      </c>
      <c r="E3" s="11"/>
      <c r="F3" s="11"/>
      <c r="G3" s="11"/>
      <c r="H3" s="17" t="s">
        <v>208</v>
      </c>
      <c r="I3" s="11"/>
      <c r="J3" s="11"/>
      <c r="K3" s="11"/>
      <c r="L3" s="17" t="s">
        <v>209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17.25" customHeight="1" x14ac:dyDescent="0.3">
      <c r="A4" s="11"/>
      <c r="B4" s="11"/>
      <c r="C4" s="16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39" customHeight="1" x14ac:dyDescent="0.3">
      <c r="A5" s="11"/>
      <c r="B5" s="11"/>
      <c r="C5" s="11"/>
      <c r="D5" s="11"/>
      <c r="E5" s="12"/>
      <c r="F5" s="11"/>
      <c r="G5" s="11"/>
      <c r="H5" s="11"/>
      <c r="I5" s="12"/>
      <c r="J5" s="11"/>
      <c r="K5" s="11"/>
      <c r="L5" s="11"/>
      <c r="M5" s="15"/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3">
      <c r="A6" s="11"/>
      <c r="B6" s="11"/>
      <c r="C6" s="11"/>
      <c r="D6" s="13"/>
      <c r="E6" s="13"/>
      <c r="F6" s="13"/>
      <c r="G6" s="11"/>
      <c r="H6" s="13"/>
      <c r="I6" s="13"/>
      <c r="J6" s="13"/>
      <c r="K6" s="11"/>
      <c r="L6" s="13"/>
      <c r="M6" s="13"/>
      <c r="N6" s="13"/>
      <c r="O6" s="11"/>
      <c r="P6" s="11"/>
      <c r="Q6" s="11"/>
      <c r="R6" s="11"/>
      <c r="S6" s="11"/>
      <c r="T6" s="11"/>
      <c r="U6" s="11"/>
      <c r="V6" s="11"/>
    </row>
    <row r="7" spans="1:22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3.25" customHeight="1" x14ac:dyDescent="0.3">
      <c r="A12" s="11"/>
      <c r="B12" s="11"/>
      <c r="C12" s="11"/>
      <c r="D12" s="14"/>
      <c r="E12" s="14"/>
      <c r="F12" s="14"/>
      <c r="G12" s="11"/>
      <c r="H12" s="32" t="s">
        <v>214</v>
      </c>
      <c r="I12" s="18"/>
      <c r="J12" s="18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ht="19.5" customHeight="1" x14ac:dyDescent="0.3">
      <c r="A13" s="11"/>
      <c r="B13" s="11"/>
      <c r="C13" s="11"/>
      <c r="D13" s="14"/>
      <c r="E13" s="14"/>
      <c r="F13" s="14"/>
      <c r="G13" s="11"/>
      <c r="H13" s="19" t="s">
        <v>299</v>
      </c>
      <c r="I13" s="18"/>
      <c r="J13" s="18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1:22" x14ac:dyDescent="0.3">
      <c r="A14" s="11"/>
      <c r="B14" s="11"/>
      <c r="C14" s="11"/>
      <c r="D14" s="14"/>
      <c r="E14" s="14"/>
      <c r="F14" s="14"/>
      <c r="G14" s="11"/>
      <c r="H14" s="19" t="s">
        <v>298</v>
      </c>
      <c r="I14" s="18"/>
      <c r="J14" s="18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x14ac:dyDescent="0.3">
      <c r="A15" s="11"/>
      <c r="B15" s="11"/>
      <c r="C15" s="11"/>
      <c r="D15" s="14"/>
      <c r="E15" s="14"/>
      <c r="F15" s="14"/>
      <c r="G15" s="11"/>
      <c r="H15" s="19"/>
      <c r="I15" s="18"/>
      <c r="J15" s="18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</row>
    <row r="16" spans="1:22" x14ac:dyDescent="0.3">
      <c r="A16" s="11"/>
      <c r="B16" s="11"/>
      <c r="C16" s="11"/>
      <c r="D16" s="14"/>
      <c r="E16" s="14"/>
      <c r="F16" s="14"/>
      <c r="G16" s="11"/>
      <c r="H16" s="18"/>
      <c r="I16" s="18"/>
      <c r="J16" s="18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</row>
    <row r="17" spans="1:22" x14ac:dyDescent="0.3">
      <c r="A17" s="11"/>
      <c r="B17" s="11"/>
      <c r="C17" s="11"/>
      <c r="D17" s="14"/>
      <c r="E17" s="14"/>
      <c r="F17" s="14"/>
      <c r="G17" s="11"/>
      <c r="H17" s="18"/>
      <c r="I17" s="18"/>
      <c r="J17" s="18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 x14ac:dyDescent="0.3">
      <c r="A18" s="11"/>
      <c r="B18" s="11"/>
      <c r="C18" s="11"/>
      <c r="D18" s="14"/>
      <c r="E18" s="14"/>
      <c r="F18" s="14"/>
      <c r="G18" s="11"/>
      <c r="H18" s="18"/>
      <c r="I18" s="18"/>
      <c r="J18" s="18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 x14ac:dyDescent="0.3">
      <c r="A19" s="11"/>
      <c r="B19" s="11"/>
      <c r="C19" s="11"/>
      <c r="D19" s="14"/>
      <c r="E19" s="14"/>
      <c r="F19" s="14"/>
      <c r="G19" s="11"/>
      <c r="H19" s="18"/>
      <c r="I19" s="18"/>
      <c r="J19" s="18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</row>
    <row r="20" spans="1:22" x14ac:dyDescent="0.3">
      <c r="A20" s="11"/>
      <c r="B20" s="11"/>
      <c r="C20" s="11"/>
      <c r="D20" s="14"/>
      <c r="E20" s="14"/>
      <c r="F20" s="14"/>
      <c r="G20" s="11"/>
      <c r="H20" s="18"/>
      <c r="I20" s="18"/>
      <c r="J20" s="18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 x14ac:dyDescent="0.3">
      <c r="A21" s="11"/>
      <c r="B21" s="11"/>
      <c r="C21" s="11"/>
      <c r="D21" s="14"/>
      <c r="E21" s="14"/>
      <c r="F21" s="14"/>
      <c r="G21" s="11"/>
      <c r="H21" s="18"/>
      <c r="I21" s="18"/>
      <c r="J21" s="18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3">
      <c r="A25" s="11"/>
      <c r="B25" s="11"/>
      <c r="C25" s="11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1"/>
      <c r="P25" s="11"/>
      <c r="Q25" s="11"/>
      <c r="R25" s="11"/>
      <c r="S25" s="11"/>
      <c r="T25" s="11"/>
      <c r="U25" s="11"/>
      <c r="V25" s="11"/>
    </row>
    <row r="26" spans="1:22" ht="14.25" customHeight="1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 ht="22.5" customHeight="1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hidden="1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idden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idden="1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idden="1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 hidden="1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idden="1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idden="1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idden="1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 hidden="1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 hidden="1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print="0" autoFill="0" autoPict="0" macro="[0]!Customer_Master">
                <anchor moveWithCells="1" sizeWithCells="1">
                  <from>
                    <xdr:col>8</xdr:col>
                    <xdr:colOff>584200</xdr:colOff>
                    <xdr:row>14</xdr:row>
                    <xdr:rowOff>158750</xdr:rowOff>
                  </from>
                  <to>
                    <xdr:col>9</xdr:col>
                    <xdr:colOff>374650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View_Master">
                <anchor moveWithCells="1" sizeWithCells="1">
                  <from>
                    <xdr:col>8</xdr:col>
                    <xdr:colOff>641350</xdr:colOff>
                    <xdr:row>18</xdr:row>
                    <xdr:rowOff>76200</xdr:rowOff>
                  </from>
                  <to>
                    <xdr:col>9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69"/>
  <sheetViews>
    <sheetView showGridLines="0" tabSelected="1" topLeftCell="A32" workbookViewId="0">
      <pane xSplit="3" topLeftCell="U1" activePane="topRight" state="frozen"/>
      <selection pane="topRight" activeCell="Y39" sqref="Y39"/>
    </sheetView>
  </sheetViews>
  <sheetFormatPr defaultColWidth="8.83203125" defaultRowHeight="14" outlineLevelCol="1" x14ac:dyDescent="0.3"/>
  <cols>
    <col min="1" max="1" width="2.5" style="44" customWidth="1"/>
    <col min="2" max="2" width="19.25" style="44" customWidth="1"/>
    <col min="3" max="3" width="18.08203125" style="44" customWidth="1"/>
    <col min="4" max="4" width="37.8320312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28" style="44" customWidth="1"/>
    <col min="10" max="10" width="39.5" style="44" customWidth="1"/>
    <col min="11" max="11" width="15.33203125" style="78" customWidth="1"/>
    <col min="12" max="12" width="25" style="44" customWidth="1"/>
    <col min="13" max="13" width="19" style="44" customWidth="1"/>
    <col min="14" max="14" width="15.33203125" style="78" customWidth="1"/>
    <col min="15" max="15" width="16.75" style="44" hidden="1" customWidth="1" outlineLevel="1"/>
    <col min="16" max="16" width="12.33203125" style="44" hidden="1" customWidth="1" outlineLevel="1"/>
    <col min="17" max="17" width="15.33203125" style="78" hidden="1" customWidth="1" outlineLevel="1" collapsed="1"/>
    <col min="18" max="18" width="14.25" style="44" customWidth="1" collapsed="1"/>
    <col min="19" max="19" width="13.33203125" style="44" customWidth="1"/>
    <col min="20" max="20" width="13.25" style="44" customWidth="1"/>
    <col min="21" max="21" width="15.25" style="44" customWidth="1"/>
    <col min="22" max="22" width="12.33203125" style="36" customWidth="1"/>
    <col min="23" max="23" width="16.08203125" style="44" customWidth="1"/>
    <col min="24" max="28" width="12.33203125" style="44" customWidth="1"/>
    <col min="29" max="29" width="4.33203125" style="44" customWidth="1"/>
    <col min="30" max="16384" width="8.83203125" style="44"/>
  </cols>
  <sheetData>
    <row r="1" spans="1:50" x14ac:dyDescent="0.3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  <c r="AD1" s="40"/>
    </row>
    <row r="2" spans="1:50" x14ac:dyDescent="0.3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  <c r="AD2" s="40"/>
    </row>
    <row r="3" spans="1:50" x14ac:dyDescent="0.3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  <c r="AD3" s="40"/>
    </row>
    <row r="4" spans="1:50" s="47" customFormat="1" ht="34.5" customHeight="1" x14ac:dyDescent="0.3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  <c r="AD4" s="41"/>
    </row>
    <row r="5" spans="1:50" s="48" customFormat="1" ht="21" customHeight="1" x14ac:dyDescent="0.3">
      <c r="K5" s="49"/>
      <c r="N5" s="49"/>
      <c r="Q5" s="49"/>
      <c r="U5" s="37"/>
    </row>
    <row r="6" spans="1:50" s="48" customFormat="1" ht="18" customHeight="1" x14ac:dyDescent="0.3">
      <c r="K6" s="49"/>
      <c r="N6" s="49"/>
      <c r="Q6" s="49"/>
      <c r="U6" s="37"/>
    </row>
    <row r="7" spans="1:50" s="50" customFormat="1" ht="28.5" thickBot="1" x14ac:dyDescent="0.3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153</v>
      </c>
      <c r="K7" s="54" t="s">
        <v>154</v>
      </c>
      <c r="L7" s="51" t="s">
        <v>142</v>
      </c>
      <c r="M7" s="51" t="s">
        <v>155</v>
      </c>
      <c r="N7" s="54" t="s">
        <v>156</v>
      </c>
      <c r="O7" s="51" t="s">
        <v>143</v>
      </c>
      <c r="P7" s="51" t="s">
        <v>157</v>
      </c>
      <c r="Q7" s="54" t="s">
        <v>158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152</v>
      </c>
      <c r="Z7" s="51" t="s">
        <v>149</v>
      </c>
      <c r="AA7" s="51" t="s">
        <v>150</v>
      </c>
      <c r="AB7" s="51" t="s">
        <v>151</v>
      </c>
    </row>
    <row r="8" spans="1:50" x14ac:dyDescent="0.3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5">
        <v>0.2</v>
      </c>
      <c r="I8" s="34" t="s">
        <v>231</v>
      </c>
      <c r="J8" s="35" t="s">
        <v>215</v>
      </c>
      <c r="K8" s="36">
        <v>3500</v>
      </c>
      <c r="L8" s="34"/>
      <c r="M8" s="34"/>
      <c r="N8" s="36"/>
      <c r="O8" s="34"/>
      <c r="P8" s="34"/>
      <c r="Q8" s="36"/>
      <c r="R8" s="10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57">
        <f t="shared" ref="AB8:AB12" si="0">R8*0.5</f>
        <v>1750</v>
      </c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</row>
    <row r="9" spans="1:50" x14ac:dyDescent="0.3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5">
        <v>0</v>
      </c>
      <c r="I9" s="34" t="s">
        <v>232</v>
      </c>
      <c r="J9" s="35" t="s">
        <v>216</v>
      </c>
      <c r="K9" s="36">
        <v>3500</v>
      </c>
      <c r="L9" s="34"/>
      <c r="M9" s="34"/>
      <c r="N9" s="36"/>
      <c r="O9" s="34"/>
      <c r="P9" s="34"/>
      <c r="Q9" s="36"/>
      <c r="R9" s="10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57">
        <f t="shared" si="0"/>
        <v>1750</v>
      </c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</row>
    <row r="10" spans="1:50" x14ac:dyDescent="0.3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6">
        <v>0</v>
      </c>
      <c r="I10" s="34" t="s">
        <v>234</v>
      </c>
      <c r="J10" s="35" t="s">
        <v>217</v>
      </c>
      <c r="K10" s="36">
        <v>840</v>
      </c>
      <c r="L10" s="34"/>
      <c r="M10" s="34"/>
      <c r="N10" s="36"/>
      <c r="O10" s="34"/>
      <c r="P10" s="34"/>
      <c r="Q10" s="36"/>
      <c r="R10" s="10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57">
        <f t="shared" si="0"/>
        <v>420</v>
      </c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</row>
    <row r="11" spans="1:50" x14ac:dyDescent="0.3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5">
        <v>0.2</v>
      </c>
      <c r="I11" s="34" t="s">
        <v>235</v>
      </c>
      <c r="J11" s="35" t="s">
        <v>218</v>
      </c>
      <c r="K11" s="36">
        <v>4500</v>
      </c>
      <c r="L11" s="34"/>
      <c r="M11" s="34"/>
      <c r="N11" s="36"/>
      <c r="O11" s="34"/>
      <c r="P11" s="34"/>
      <c r="Q11" s="36"/>
      <c r="R11" s="10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57">
        <f t="shared" si="0"/>
        <v>2250</v>
      </c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</row>
    <row r="12" spans="1:50" x14ac:dyDescent="0.3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5">
        <v>0.2</v>
      </c>
      <c r="I12" s="34" t="s">
        <v>236</v>
      </c>
      <c r="J12" s="35" t="s">
        <v>219</v>
      </c>
      <c r="K12" s="36">
        <v>2100</v>
      </c>
      <c r="L12" s="34"/>
      <c r="M12" s="34"/>
      <c r="N12" s="36"/>
      <c r="O12" s="34"/>
      <c r="P12" s="34"/>
      <c r="Q12" s="36"/>
      <c r="R12" s="10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57">
        <f t="shared" si="0"/>
        <v>1050</v>
      </c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50" x14ac:dyDescent="0.3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5">
        <v>0</v>
      </c>
      <c r="I13" s="34" t="s">
        <v>237</v>
      </c>
      <c r="J13" s="35" t="s">
        <v>220</v>
      </c>
      <c r="K13" s="36">
        <v>3750</v>
      </c>
      <c r="L13" s="34"/>
      <c r="M13" s="34"/>
      <c r="N13" s="36"/>
      <c r="O13" s="34"/>
      <c r="P13" s="34"/>
      <c r="Q13" s="36"/>
      <c r="R13" s="10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57">
        <f t="shared" ref="AB13" si="1">R13*0.5</f>
        <v>1875</v>
      </c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50" x14ac:dyDescent="0.3">
      <c r="B14" s="63" t="s">
        <v>160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97">
        <v>0</v>
      </c>
      <c r="I14" s="34" t="s">
        <v>238</v>
      </c>
      <c r="J14" s="35" t="s">
        <v>221</v>
      </c>
      <c r="K14" s="36">
        <v>5500</v>
      </c>
      <c r="L14" s="34"/>
      <c r="M14" s="34"/>
      <c r="N14" s="36"/>
      <c r="O14" s="34"/>
      <c r="P14" s="34"/>
      <c r="Q14" s="36"/>
      <c r="R14" s="10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57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50" x14ac:dyDescent="0.3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97">
        <v>0.2</v>
      </c>
      <c r="I15" s="34" t="s">
        <v>233</v>
      </c>
      <c r="J15" s="35" t="s">
        <v>222</v>
      </c>
      <c r="K15" s="36">
        <v>2000</v>
      </c>
      <c r="L15" s="34"/>
      <c r="M15" s="34"/>
      <c r="N15" s="36"/>
      <c r="O15" s="34"/>
      <c r="P15" s="34"/>
      <c r="Q15" s="36"/>
      <c r="R15" s="10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57">
        <f t="shared" ref="AB15:AB22" si="2">R15*0.5</f>
        <v>1000</v>
      </c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50" x14ac:dyDescent="0.3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97">
        <v>0</v>
      </c>
      <c r="I16" s="34" t="s">
        <v>239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0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57">
        <f t="shared" si="2"/>
        <v>420</v>
      </c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</row>
    <row r="17" spans="1:50" x14ac:dyDescent="0.3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6">
        <v>0</v>
      </c>
      <c r="I17" s="34" t="s">
        <v>240</v>
      </c>
      <c r="J17" s="35" t="s">
        <v>223</v>
      </c>
      <c r="K17" s="36">
        <v>1680</v>
      </c>
      <c r="L17" s="34"/>
      <c r="M17" s="34"/>
      <c r="N17" s="36"/>
      <c r="O17" s="34"/>
      <c r="P17" s="34"/>
      <c r="Q17" s="36"/>
      <c r="R17" s="10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57">
        <f t="shared" si="2"/>
        <v>840</v>
      </c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</row>
    <row r="18" spans="1:50" s="55" customFormat="1" x14ac:dyDescent="0.3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6">
        <v>0</v>
      </c>
      <c r="I18" s="34" t="s">
        <v>241</v>
      </c>
      <c r="J18" s="35" t="s">
        <v>224</v>
      </c>
      <c r="K18" s="37">
        <v>1680</v>
      </c>
      <c r="L18" s="38"/>
      <c r="M18" s="38"/>
      <c r="N18" s="37"/>
      <c r="O18" s="38"/>
      <c r="P18" s="38"/>
      <c r="Q18" s="37"/>
      <c r="R18" s="10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73">
        <f t="shared" si="2"/>
        <v>840</v>
      </c>
      <c r="AC18" s="48"/>
      <c r="AD18" s="48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0" s="55" customFormat="1" x14ac:dyDescent="0.3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97">
        <v>0</v>
      </c>
      <c r="I19" s="34" t="s">
        <v>242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0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73">
        <f>R19*0.5</f>
        <v>840</v>
      </c>
      <c r="AC19" s="48"/>
      <c r="AD19" s="48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</row>
    <row r="20" spans="1:50" s="55" customFormat="1" x14ac:dyDescent="0.3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97">
        <v>0</v>
      </c>
      <c r="I20" s="34" t="s">
        <v>243</v>
      </c>
      <c r="J20" s="35" t="s">
        <v>225</v>
      </c>
      <c r="K20" s="37">
        <v>4000</v>
      </c>
      <c r="L20" s="38"/>
      <c r="M20" s="38"/>
      <c r="N20" s="37"/>
      <c r="O20" s="38"/>
      <c r="P20" s="38"/>
      <c r="Q20" s="37"/>
      <c r="R20" s="10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73">
        <f>R20*0.5</f>
        <v>2000</v>
      </c>
      <c r="AC20" s="48"/>
      <c r="AD20" s="48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0" s="55" customFormat="1" x14ac:dyDescent="0.3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97">
        <v>0</v>
      </c>
      <c r="I21" s="34" t="s">
        <v>244</v>
      </c>
      <c r="J21" s="35" t="s">
        <v>226</v>
      </c>
      <c r="K21" s="37">
        <v>3000</v>
      </c>
      <c r="L21" s="38"/>
      <c r="M21" s="38"/>
      <c r="N21" s="37"/>
      <c r="O21" s="38"/>
      <c r="P21" s="38"/>
      <c r="Q21" s="37"/>
      <c r="R21" s="10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73">
        <f>R21*0.5</f>
        <v>1500</v>
      </c>
      <c r="AC21" s="48"/>
      <c r="AD21" s="48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</row>
    <row r="22" spans="1:50" s="55" customFormat="1" x14ac:dyDescent="0.3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6">
        <v>0</v>
      </c>
      <c r="I22" s="34" t="s">
        <v>245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0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73">
        <f t="shared" si="2"/>
        <v>1200</v>
      </c>
      <c r="AC22" s="48"/>
      <c r="AD22" s="48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</row>
    <row r="23" spans="1:50" s="55" customFormat="1" x14ac:dyDescent="0.3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97">
        <v>0</v>
      </c>
      <c r="I23" s="34" t="s">
        <v>246</v>
      </c>
      <c r="J23" s="39" t="s">
        <v>227</v>
      </c>
      <c r="K23" s="37">
        <v>3060</v>
      </c>
      <c r="L23" s="38"/>
      <c r="M23" s="38"/>
      <c r="N23" s="37"/>
      <c r="O23" s="38"/>
      <c r="P23" s="38"/>
      <c r="Q23" s="37"/>
      <c r="R23" s="10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73">
        <f t="shared" ref="AB23:AB25" si="3">R23*0.5</f>
        <v>1530</v>
      </c>
      <c r="AC23" s="48"/>
      <c r="AD23" s="48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</row>
    <row r="24" spans="1:50" s="55" customFormat="1" x14ac:dyDescent="0.3">
      <c r="A24" s="48"/>
      <c r="B24" s="63" t="s">
        <v>122</v>
      </c>
      <c r="C24" s="64" t="s">
        <v>188</v>
      </c>
      <c r="D24" s="65" t="s">
        <v>31</v>
      </c>
      <c r="E24" s="65" t="s">
        <v>33</v>
      </c>
      <c r="F24" s="65" t="s">
        <v>32</v>
      </c>
      <c r="G24" s="65"/>
      <c r="H24" s="97">
        <v>0</v>
      </c>
      <c r="I24" s="34" t="s">
        <v>247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0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73">
        <f t="shared" si="3"/>
        <v>687.5</v>
      </c>
      <c r="AC24" s="48"/>
      <c r="AD24" s="48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</row>
    <row r="25" spans="1:50" s="55" customFormat="1" x14ac:dyDescent="0.3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97">
        <v>0</v>
      </c>
      <c r="I25" s="34" t="s">
        <v>248</v>
      </c>
      <c r="J25" s="39" t="s">
        <v>228</v>
      </c>
      <c r="K25" s="37">
        <v>4000</v>
      </c>
      <c r="L25" s="38"/>
      <c r="M25" s="38"/>
      <c r="N25" s="37"/>
      <c r="O25" s="38"/>
      <c r="P25" s="38"/>
      <c r="Q25" s="37"/>
      <c r="R25" s="10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73">
        <f t="shared" si="3"/>
        <v>2000</v>
      </c>
      <c r="AC25" s="48"/>
      <c r="AD25" s="48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</row>
    <row r="26" spans="1:50" x14ac:dyDescent="0.3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6">
        <v>0</v>
      </c>
      <c r="I26" s="34" t="s">
        <v>249</v>
      </c>
      <c r="J26" s="35" t="s">
        <v>229</v>
      </c>
      <c r="K26" s="36">
        <v>840</v>
      </c>
      <c r="L26" s="34"/>
      <c r="M26" s="34"/>
      <c r="N26" s="36"/>
      <c r="O26" s="34"/>
      <c r="P26" s="34"/>
      <c r="Q26" s="36"/>
      <c r="R26" s="10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57">
        <f>R26*0.5</f>
        <v>420</v>
      </c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</row>
    <row r="27" spans="1:50" x14ac:dyDescent="0.3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6">
        <v>0</v>
      </c>
      <c r="I27" s="34" t="s">
        <v>250</v>
      </c>
      <c r="J27" s="35" t="s">
        <v>230</v>
      </c>
      <c r="K27" s="36">
        <v>3600</v>
      </c>
      <c r="L27" s="34"/>
      <c r="M27" s="34"/>
      <c r="N27" s="36"/>
      <c r="O27" s="34"/>
      <c r="P27" s="34"/>
      <c r="Q27" s="36"/>
      <c r="R27" s="10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57">
        <f>R27*0.5</f>
        <v>1800</v>
      </c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</row>
    <row r="28" spans="1:50" x14ac:dyDescent="0.3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6">
        <v>0</v>
      </c>
      <c r="I28" s="34" t="s">
        <v>251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0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57">
        <f>R28*0.5</f>
        <v>1800</v>
      </c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</row>
    <row r="29" spans="1:50" x14ac:dyDescent="0.3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6">
        <v>0</v>
      </c>
      <c r="I29" s="34" t="s">
        <v>252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0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57">
        <f t="shared" ref="AB29:AB38" si="4">R29*0.5</f>
        <v>1350</v>
      </c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</row>
    <row r="30" spans="1:50" x14ac:dyDescent="0.3">
      <c r="B30" s="63" t="s">
        <v>122</v>
      </c>
      <c r="C30" s="64" t="s">
        <v>188</v>
      </c>
      <c r="D30" s="65" t="s">
        <v>31</v>
      </c>
      <c r="E30" s="65" t="s">
        <v>33</v>
      </c>
      <c r="F30" s="65" t="s">
        <v>32</v>
      </c>
      <c r="G30" s="68"/>
      <c r="H30" s="96">
        <v>0</v>
      </c>
      <c r="I30" s="34" t="s">
        <v>252</v>
      </c>
      <c r="J30" s="35">
        <v>42869</v>
      </c>
      <c r="K30" s="36">
        <v>2700</v>
      </c>
      <c r="L30" s="34"/>
      <c r="M30" s="34"/>
      <c r="N30" s="36"/>
      <c r="O30" s="34"/>
      <c r="P30" s="34"/>
      <c r="Q30" s="36"/>
      <c r="R30" s="10">
        <f>InvoiceTable[[#This Row],[Amount Line 1]]+InvoiceTable[[#This Row],[Amount Line 2]]+InvoiceTable[[#This Row],[Amount Line 3]]</f>
        <v>2700</v>
      </c>
      <c r="S30" s="58"/>
      <c r="T30" s="57">
        <f>InvoiceTable[[#This Row],[Agreed Amount Total]]+InvoiceTable[[#This Row],[Additional Expenses]]</f>
        <v>2700</v>
      </c>
      <c r="U30" s="57">
        <f>InvoiceTable[[#This Row],[Net Amount]]+InvoiceTable[[#This Row],[VAT to Pay]]</f>
        <v>2700</v>
      </c>
      <c r="V30" s="93">
        <v>15062</v>
      </c>
      <c r="W30" s="59">
        <v>43105</v>
      </c>
      <c r="X30" s="60">
        <f>IF(InvoiceTable[[#This Row],[Invoice Date]]="","",WORKDAY(InvoiceTable[[#This Row],[Invoice Date]],14))</f>
        <v>43125</v>
      </c>
      <c r="Y30" s="34" t="s">
        <v>148</v>
      </c>
      <c r="Z30" s="61">
        <v>43122</v>
      </c>
      <c r="AA30" s="57">
        <f>InvoiceTable[[#This Row],[Net Amount]]*InvoiceTable[[#This Row],[VAT]]</f>
        <v>0</v>
      </c>
      <c r="AB30" s="57">
        <f t="shared" si="4"/>
        <v>1350</v>
      </c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</row>
    <row r="31" spans="1:50" x14ac:dyDescent="0.3">
      <c r="B31" s="63" t="s">
        <v>121</v>
      </c>
      <c r="C31" s="64" t="s">
        <v>15</v>
      </c>
      <c r="D31" s="65" t="s">
        <v>36</v>
      </c>
      <c r="E31" s="65" t="s">
        <v>37</v>
      </c>
      <c r="F31" s="65" t="s">
        <v>38</v>
      </c>
      <c r="G31" s="68"/>
      <c r="H31" s="96">
        <v>0</v>
      </c>
      <c r="I31" s="34" t="s">
        <v>251</v>
      </c>
      <c r="J31" s="35">
        <v>42880</v>
      </c>
      <c r="K31" s="36">
        <v>1800</v>
      </c>
      <c r="L31" s="34"/>
      <c r="M31" s="34"/>
      <c r="N31" s="36"/>
      <c r="O31" s="34"/>
      <c r="P31" s="34"/>
      <c r="Q31" s="36"/>
      <c r="R31" s="10">
        <f>InvoiceTable[[#This Row],[Amount Line 1]]+InvoiceTable[[#This Row],[Amount Line 2]]+InvoiceTable[[#This Row],[Amount Line 3]]</f>
        <v>1800</v>
      </c>
      <c r="S31" s="58"/>
      <c r="T31" s="57">
        <f>InvoiceTable[[#This Row],[Agreed Amount Total]]+InvoiceTable[[#This Row],[Additional Expenses]]</f>
        <v>1800</v>
      </c>
      <c r="U31" s="57">
        <f>InvoiceTable[[#This Row],[Net Amount]]+InvoiceTable[[#This Row],[VAT to Pay]]</f>
        <v>1800</v>
      </c>
      <c r="V31" s="93">
        <v>15063</v>
      </c>
      <c r="W31" s="59">
        <v>43105</v>
      </c>
      <c r="X31" s="60">
        <f>IF(InvoiceTable[[#This Row],[Invoice Date]]="","",WORKDAY(InvoiceTable[[#This Row],[Invoice Date]],14))</f>
        <v>43125</v>
      </c>
      <c r="Y31" s="34" t="s">
        <v>148</v>
      </c>
      <c r="Z31" s="61">
        <v>43131</v>
      </c>
      <c r="AA31" s="57">
        <f>InvoiceTable[[#This Row],[Net Amount]]*InvoiceTable[[#This Row],[VAT]]</f>
        <v>0</v>
      </c>
      <c r="AB31" s="57">
        <f t="shared" si="4"/>
        <v>900</v>
      </c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</row>
    <row r="32" spans="1:50" x14ac:dyDescent="0.3">
      <c r="B32" s="34" t="s">
        <v>48</v>
      </c>
      <c r="C32" s="34" t="s">
        <v>86</v>
      </c>
      <c r="D32" s="68" t="s">
        <v>39</v>
      </c>
      <c r="E32" s="68" t="s">
        <v>41</v>
      </c>
      <c r="F32" s="68" t="s">
        <v>40</v>
      </c>
      <c r="G32" s="68"/>
      <c r="H32" s="96">
        <v>0</v>
      </c>
      <c r="I32" s="34" t="s">
        <v>251</v>
      </c>
      <c r="J32" s="35">
        <v>42880</v>
      </c>
      <c r="K32" s="36">
        <v>1800</v>
      </c>
      <c r="L32" s="34"/>
      <c r="M32" s="34"/>
      <c r="N32" s="36"/>
      <c r="O32" s="34"/>
      <c r="P32" s="34"/>
      <c r="Q32" s="36"/>
      <c r="R32" s="10">
        <f>InvoiceTable[[#This Row],[Amount Line 1]]+InvoiceTable[[#This Row],[Amount Line 2]]+InvoiceTable[[#This Row],[Amount Line 3]]</f>
        <v>1800</v>
      </c>
      <c r="S32" s="58"/>
      <c r="T32" s="57">
        <f>InvoiceTable[[#This Row],[Agreed Amount Total]]+InvoiceTable[[#This Row],[Additional Expenses]]</f>
        <v>1800</v>
      </c>
      <c r="U32" s="57">
        <f>InvoiceTable[[#This Row],[Net Amount]]+InvoiceTable[[#This Row],[VAT to Pay]]</f>
        <v>1800</v>
      </c>
      <c r="V32" s="93">
        <v>15064</v>
      </c>
      <c r="W32" s="59">
        <v>43112</v>
      </c>
      <c r="X32" s="60">
        <f>IF(InvoiceTable[[#This Row],[Invoice Date]]="","",WORKDAY(InvoiceTable[[#This Row],[Invoice Date]],14))</f>
        <v>43132</v>
      </c>
      <c r="Y32" s="34" t="s">
        <v>148</v>
      </c>
      <c r="Z32" s="61">
        <v>43132</v>
      </c>
      <c r="AA32" s="57">
        <f>InvoiceTable[[#This Row],[Net Amount]]*InvoiceTable[[#This Row],[VAT]]</f>
        <v>0</v>
      </c>
      <c r="AB32" s="57">
        <f t="shared" si="4"/>
        <v>900</v>
      </c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</row>
    <row r="33" spans="2:50" x14ac:dyDescent="0.3">
      <c r="B33" s="44" t="s">
        <v>44</v>
      </c>
      <c r="C33" s="62" t="s">
        <v>10</v>
      </c>
      <c r="D33" s="56" t="s">
        <v>25</v>
      </c>
      <c r="E33" s="56" t="s">
        <v>26</v>
      </c>
      <c r="F33" s="56" t="s">
        <v>27</v>
      </c>
      <c r="G33" s="56"/>
      <c r="H33" s="96">
        <v>0</v>
      </c>
      <c r="I33" s="34" t="s">
        <v>251</v>
      </c>
      <c r="J33" s="35">
        <v>42900</v>
      </c>
      <c r="K33" s="36">
        <v>9900</v>
      </c>
      <c r="L33" s="34"/>
      <c r="M33" s="34"/>
      <c r="N33" s="36"/>
      <c r="O33" s="34"/>
      <c r="P33" s="34"/>
      <c r="Q33" s="36"/>
      <c r="R33" s="10">
        <f>InvoiceTable[[#This Row],[Amount Line 1]]+InvoiceTable[[#This Row],[Amount Line 2]]+InvoiceTable[[#This Row],[Amount Line 3]]</f>
        <v>9900</v>
      </c>
      <c r="S33" s="58"/>
      <c r="T33" s="57">
        <f>InvoiceTable[[#This Row],[Agreed Amount Total]]+InvoiceTable[[#This Row],[Additional Expenses]]</f>
        <v>9900</v>
      </c>
      <c r="U33" s="57">
        <f>InvoiceTable[[#This Row],[Net Amount]]+InvoiceTable[[#This Row],[VAT to Pay]]</f>
        <v>9900</v>
      </c>
      <c r="V33" s="93">
        <v>15065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0</v>
      </c>
      <c r="AB33" s="57">
        <f t="shared" si="4"/>
        <v>4950</v>
      </c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</row>
    <row r="34" spans="2:50" x14ac:dyDescent="0.3">
      <c r="B34" s="44" t="s">
        <v>63</v>
      </c>
      <c r="C34" s="47" t="s">
        <v>80</v>
      </c>
      <c r="D34" s="56" t="s">
        <v>60</v>
      </c>
      <c r="E34" s="56" t="s">
        <v>61</v>
      </c>
      <c r="F34" s="56" t="s">
        <v>57</v>
      </c>
      <c r="G34" s="56" t="s">
        <v>111</v>
      </c>
      <c r="H34" s="95">
        <v>0.2</v>
      </c>
      <c r="I34" s="34" t="s">
        <v>251</v>
      </c>
      <c r="J34" s="35">
        <v>42900</v>
      </c>
      <c r="K34" s="36">
        <v>4500</v>
      </c>
      <c r="L34" s="34"/>
      <c r="M34" s="34"/>
      <c r="N34" s="36"/>
      <c r="O34" s="34"/>
      <c r="P34" s="34"/>
      <c r="Q34" s="36"/>
      <c r="R34" s="10">
        <f>InvoiceTable[[#This Row],[Amount Line 1]]+InvoiceTable[[#This Row],[Amount Line 2]]+InvoiceTable[[#This Row],[Amount Line 3]]</f>
        <v>4500</v>
      </c>
      <c r="S34" s="58"/>
      <c r="T34" s="57">
        <f>InvoiceTable[[#This Row],[Agreed Amount Total]]+InvoiceTable[[#This Row],[Additional Expenses]]</f>
        <v>4500</v>
      </c>
      <c r="U34" s="57">
        <f>InvoiceTable[[#This Row],[Net Amount]]+InvoiceTable[[#This Row],[VAT to Pay]]</f>
        <v>5400</v>
      </c>
      <c r="V34" s="93">
        <v>15066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900</v>
      </c>
      <c r="AB34" s="57">
        <f t="shared" si="4"/>
        <v>2250</v>
      </c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</row>
    <row r="35" spans="2:50" x14ac:dyDescent="0.3">
      <c r="B35" s="44" t="s">
        <v>65</v>
      </c>
      <c r="C35" s="47" t="s">
        <v>82</v>
      </c>
      <c r="D35" s="56" t="s">
        <v>60</v>
      </c>
      <c r="E35" s="56" t="s">
        <v>61</v>
      </c>
      <c r="F35" s="56" t="s">
        <v>57</v>
      </c>
      <c r="G35" s="56" t="s">
        <v>108</v>
      </c>
      <c r="H35" s="95">
        <v>0.2</v>
      </c>
      <c r="I35" s="34" t="s">
        <v>251</v>
      </c>
      <c r="J35" s="35">
        <v>42900</v>
      </c>
      <c r="K35" s="36">
        <v>1800</v>
      </c>
      <c r="L35" s="34"/>
      <c r="M35" s="34"/>
      <c r="N35" s="36"/>
      <c r="O35" s="34"/>
      <c r="P35" s="34"/>
      <c r="Q35" s="36"/>
      <c r="R35" s="10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2160</v>
      </c>
      <c r="V35" s="93">
        <v>15067</v>
      </c>
      <c r="W35" s="59">
        <v>43133</v>
      </c>
      <c r="X35" s="60">
        <f>IF(InvoiceTable[[#This Row],[Invoice Date]]="","",WORKDAY(InvoiceTable[[#This Row],[Invoice Date]],14))</f>
        <v>43153</v>
      </c>
      <c r="Y35" s="34" t="s">
        <v>148</v>
      </c>
      <c r="Z35" s="61">
        <v>43151</v>
      </c>
      <c r="AA35" s="57">
        <f>InvoiceTable[[#This Row],[Net Amount]]*InvoiceTable[[#This Row],[VAT]]</f>
        <v>360</v>
      </c>
      <c r="AB35" s="57">
        <f t="shared" si="4"/>
        <v>900</v>
      </c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</row>
    <row r="36" spans="2:50" x14ac:dyDescent="0.3">
      <c r="B36" s="44" t="s">
        <v>122</v>
      </c>
      <c r="C36" s="62" t="s">
        <v>12</v>
      </c>
      <c r="D36" s="56" t="s">
        <v>31</v>
      </c>
      <c r="E36" s="56" t="s">
        <v>33</v>
      </c>
      <c r="F36" s="56" t="s">
        <v>32</v>
      </c>
      <c r="G36" s="56"/>
      <c r="H36" s="95">
        <v>0</v>
      </c>
      <c r="I36" s="34" t="s">
        <v>253</v>
      </c>
      <c r="J36" s="35">
        <v>42901</v>
      </c>
      <c r="K36" s="36">
        <v>800</v>
      </c>
      <c r="L36" s="34"/>
      <c r="M36" s="34"/>
      <c r="N36" s="36"/>
      <c r="O36" s="34"/>
      <c r="P36" s="34"/>
      <c r="Q36" s="36"/>
      <c r="R36" s="10">
        <f>InvoiceTable[[#This Row],[Amount Line 1]]+InvoiceTable[[#This Row],[Amount Line 2]]+InvoiceTable[[#This Row],[Amount Line 3]]</f>
        <v>800</v>
      </c>
      <c r="S36" s="58"/>
      <c r="T36" s="57">
        <f>InvoiceTable[[#This Row],[Agreed Amount Total]]+InvoiceTable[[#This Row],[Additional Expenses]]</f>
        <v>800</v>
      </c>
      <c r="U36" s="57">
        <f>InvoiceTable[[#This Row],[Net Amount]]+InvoiceTable[[#This Row],[VAT to Pay]]</f>
        <v>800</v>
      </c>
      <c r="V36" s="93">
        <v>15068</v>
      </c>
      <c r="W36" s="59">
        <v>43133</v>
      </c>
      <c r="X36" s="60">
        <f>IF(InvoiceTable[[#This Row],[Invoice Date]]="","",WORKDAY(InvoiceTable[[#This Row],[Invoice Date]],14))</f>
        <v>43153</v>
      </c>
      <c r="Y36" s="34" t="s">
        <v>148</v>
      </c>
      <c r="Z36" s="61">
        <v>43159</v>
      </c>
      <c r="AA36" s="57">
        <f>InvoiceTable[[#This Row],[Net Amount]]*InvoiceTable[[#This Row],[VAT]]</f>
        <v>0</v>
      </c>
      <c r="AB36" s="57">
        <f t="shared" si="4"/>
        <v>400</v>
      </c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</row>
    <row r="37" spans="2:50" x14ac:dyDescent="0.3">
      <c r="B37" s="63" t="s">
        <v>160</v>
      </c>
      <c r="C37" s="64" t="s">
        <v>87</v>
      </c>
      <c r="D37" s="65" t="s">
        <v>22</v>
      </c>
      <c r="E37" s="65" t="s">
        <v>23</v>
      </c>
      <c r="F37" s="65" t="s">
        <v>24</v>
      </c>
      <c r="G37" s="65"/>
      <c r="H37" s="97">
        <v>0</v>
      </c>
      <c r="I37" s="34" t="s">
        <v>253</v>
      </c>
      <c r="J37" s="35">
        <v>42945</v>
      </c>
      <c r="K37" s="36">
        <v>1800</v>
      </c>
      <c r="L37" s="34"/>
      <c r="M37" s="34"/>
      <c r="N37" s="36"/>
      <c r="O37" s="34"/>
      <c r="P37" s="34"/>
      <c r="Q37" s="36"/>
      <c r="R37" s="10">
        <f>InvoiceTable[[#This Row],[Amount Line 1]]+InvoiceTable[[#This Row],[Amount Line 2]]+InvoiceTable[[#This Row],[Amount Line 3]]</f>
        <v>1800</v>
      </c>
      <c r="S37" s="58"/>
      <c r="T37" s="57">
        <f>InvoiceTable[[#This Row],[Agreed Amount Total]]+InvoiceTable[[#This Row],[Additional Expenses]]</f>
        <v>1800</v>
      </c>
      <c r="U37" s="57">
        <f>InvoiceTable[[#This Row],[Net Amount]]+InvoiceTable[[#This Row],[VAT to Pay]]</f>
        <v>1800</v>
      </c>
      <c r="V37" s="93">
        <v>15069</v>
      </c>
      <c r="W37" s="59">
        <v>43147</v>
      </c>
      <c r="X37" s="60">
        <f>IF(InvoiceTable[[#This Row],[Invoice Date]]="","",WORKDAY(InvoiceTable[[#This Row],[Invoice Date]],14))</f>
        <v>43167</v>
      </c>
      <c r="Y37" s="34" t="s">
        <v>148</v>
      </c>
      <c r="Z37" s="61">
        <v>43161</v>
      </c>
      <c r="AA37" s="57">
        <f>InvoiceTable[[#This Row],[Net Amount]]*InvoiceTable[[#This Row],[VAT]]</f>
        <v>0</v>
      </c>
      <c r="AB37" s="57">
        <f t="shared" si="4"/>
        <v>900</v>
      </c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</row>
    <row r="38" spans="2:50" x14ac:dyDescent="0.3">
      <c r="B38" s="63" t="s">
        <v>124</v>
      </c>
      <c r="C38" s="64" t="s">
        <v>18</v>
      </c>
      <c r="D38" s="65" t="s">
        <v>91</v>
      </c>
      <c r="E38" s="65" t="s">
        <v>92</v>
      </c>
      <c r="F38" s="65" t="s">
        <v>99</v>
      </c>
      <c r="G38" s="65" t="s">
        <v>120</v>
      </c>
      <c r="H38" s="97">
        <v>0.2</v>
      </c>
      <c r="I38" s="34" t="s">
        <v>253</v>
      </c>
      <c r="J38" s="35">
        <v>42957</v>
      </c>
      <c r="K38" s="36">
        <v>1800</v>
      </c>
      <c r="L38" s="34"/>
      <c r="M38" s="34"/>
      <c r="N38" s="36"/>
      <c r="O38" s="34"/>
      <c r="P38" s="34"/>
      <c r="Q38" s="36"/>
      <c r="R38" s="10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2160</v>
      </c>
      <c r="V38" s="93">
        <v>15070</v>
      </c>
      <c r="W38" s="59">
        <v>43159</v>
      </c>
      <c r="X38" s="60">
        <f>IF(InvoiceTable[[#This Row],[Invoice Date]]="","",WORKDAY(InvoiceTable[[#This Row],[Invoice Date]],14))</f>
        <v>43179</v>
      </c>
      <c r="Y38" s="34" t="s">
        <v>148</v>
      </c>
      <c r="Z38" s="61">
        <v>43176</v>
      </c>
      <c r="AA38" s="57">
        <f>InvoiceTable[[#This Row],[Net Amount]]*InvoiceTable[[#This Row],[VAT]]</f>
        <v>360</v>
      </c>
      <c r="AB38" s="57">
        <f t="shared" si="4"/>
        <v>900</v>
      </c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</row>
    <row r="39" spans="2:50" x14ac:dyDescent="0.3">
      <c r="B39" s="34" t="s">
        <v>65</v>
      </c>
      <c r="C39" s="34" t="s">
        <v>82</v>
      </c>
      <c r="D39" s="68" t="s">
        <v>60</v>
      </c>
      <c r="E39" s="68" t="s">
        <v>61</v>
      </c>
      <c r="F39" s="68" t="s">
        <v>57</v>
      </c>
      <c r="G39" s="68" t="s">
        <v>108</v>
      </c>
      <c r="H39" s="96">
        <v>0.2</v>
      </c>
      <c r="I39" s="34"/>
      <c r="J39" s="34"/>
      <c r="K39" s="36"/>
      <c r="L39" s="34"/>
      <c r="M39" s="34"/>
      <c r="N39" s="36"/>
      <c r="O39" s="34"/>
      <c r="P39" s="34"/>
      <c r="Q39" s="36"/>
      <c r="R39" s="10">
        <f>InvoiceTable[[#This Row],[Amount Line 1]]+InvoiceTable[[#This Row],[Amount Line 2]]+InvoiceTable[[#This Row],[Amount Line 3]]</f>
        <v>0</v>
      </c>
      <c r="S39" s="58"/>
      <c r="T39" s="57">
        <f>InvoiceTable[[#This Row],[Agreed Amount Total]]+InvoiceTable[[#This Row],[Additional Expenses]]</f>
        <v>0</v>
      </c>
      <c r="U39" s="57">
        <f>InvoiceTable[[#This Row],[Net Amount]]+InvoiceTable[[#This Row],[VAT to Pay]]</f>
        <v>0</v>
      </c>
      <c r="V39" s="93"/>
      <c r="W39" s="75"/>
      <c r="X39" s="60" t="str">
        <f>IF(InvoiceTable[[#This Row],[Invoice Date]]="","",WORKDAY(InvoiceTable[[#This Row],[Invoice Date]],14))</f>
        <v/>
      </c>
      <c r="Y39" s="34"/>
      <c r="Z39" s="34"/>
      <c r="AA39" s="57">
        <f>InvoiceTable[[#This Row],[Net Amount]]*InvoiceTable[[#This Row],[VAT]]</f>
        <v>0</v>
      </c>
      <c r="AB39" s="57">
        <f>R39*0.5</f>
        <v>0</v>
      </c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</row>
    <row r="40" spans="2:50" ht="42" x14ac:dyDescent="0.3">
      <c r="B40" s="34" t="s">
        <v>300</v>
      </c>
      <c r="C40" s="34"/>
      <c r="D40" s="68"/>
      <c r="E40" s="68"/>
      <c r="F40" s="68"/>
      <c r="G40" s="68"/>
      <c r="H40" s="96"/>
      <c r="I40" s="34"/>
      <c r="J40" s="34"/>
      <c r="K40" s="36"/>
      <c r="L40" s="34"/>
      <c r="M40" s="34"/>
      <c r="N40" s="36"/>
      <c r="O40" s="34"/>
      <c r="P40" s="34"/>
      <c r="Q40" s="36"/>
      <c r="R40" s="10">
        <f>InvoiceTable[[#This Row],[Amount Line 1]]+InvoiceTable[[#This Row],[Amount Line 2]]+InvoiceTable[[#This Row],[Amount Line 3]]</f>
        <v>0</v>
      </c>
      <c r="S40" s="58"/>
      <c r="T40" s="57">
        <f>InvoiceTable[[#This Row],[Agreed Amount Total]]+InvoiceTable[[#This Row],[Additional Expenses]]</f>
        <v>0</v>
      </c>
      <c r="U40" s="57">
        <f>InvoiceTable[[#This Row],[Net Amount]]+InvoiceTable[[#This Row],[VAT to Pay]]</f>
        <v>0</v>
      </c>
      <c r="V40" s="93"/>
      <c r="W40" s="75"/>
      <c r="X40" s="60" t="str">
        <f>IF(InvoiceTable[[#This Row],[Invoice Date]]="","",WORKDAY(InvoiceTable[[#This Row],[Invoice Date]],14))</f>
        <v/>
      </c>
      <c r="Y40" s="34"/>
      <c r="Z40" s="34"/>
      <c r="AA40" s="57">
        <f>InvoiceTable[[#This Row],[Net Amount]]*InvoiceTable[[#This Row],[VAT]]</f>
        <v>0</v>
      </c>
      <c r="AB40" s="57">
        <f>R40*0.5</f>
        <v>0</v>
      </c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</row>
    <row r="41" spans="2:50" x14ac:dyDescent="0.3">
      <c r="B41" s="34"/>
      <c r="C41" s="34"/>
      <c r="D41" s="34"/>
      <c r="E41" s="34"/>
      <c r="F41" s="34"/>
      <c r="G41" s="34"/>
      <c r="H41" s="76"/>
      <c r="I41" s="34"/>
      <c r="J41" s="34"/>
      <c r="K41" s="36"/>
      <c r="L41" s="34"/>
      <c r="M41" s="34"/>
      <c r="N41" s="36"/>
      <c r="O41" s="34"/>
      <c r="P41" s="34"/>
      <c r="Q41" s="36"/>
      <c r="R41" s="34"/>
      <c r="S41" s="34"/>
      <c r="T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</row>
    <row r="42" spans="2:50" x14ac:dyDescent="0.3">
      <c r="B42" s="34"/>
      <c r="C42" s="34"/>
      <c r="D42" s="34"/>
      <c r="E42" s="34"/>
      <c r="F42" s="34"/>
      <c r="G42" s="34"/>
      <c r="H42" s="76"/>
      <c r="I42" s="34"/>
      <c r="J42" s="34"/>
      <c r="K42" s="36"/>
      <c r="L42" s="34"/>
      <c r="M42" s="34"/>
      <c r="N42" s="36"/>
      <c r="O42" s="34"/>
      <c r="P42" s="34"/>
      <c r="Q42" s="36"/>
      <c r="R42" s="34"/>
      <c r="S42" s="34"/>
      <c r="T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</row>
    <row r="43" spans="2:50" x14ac:dyDescent="0.3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</row>
    <row r="44" spans="2:50" x14ac:dyDescent="0.3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</row>
    <row r="45" spans="2:50" x14ac:dyDescent="0.3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</row>
    <row r="46" spans="2:50" x14ac:dyDescent="0.3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</row>
    <row r="47" spans="2:50" x14ac:dyDescent="0.3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</row>
    <row r="48" spans="2:50" x14ac:dyDescent="0.3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</row>
    <row r="49" spans="2:50" x14ac:dyDescent="0.3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</row>
    <row r="50" spans="2:50" x14ac:dyDescent="0.3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</row>
    <row r="51" spans="2:50" x14ac:dyDescent="0.3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</row>
    <row r="52" spans="2:50" x14ac:dyDescent="0.3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</row>
    <row r="53" spans="2:50" x14ac:dyDescent="0.3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2:50" x14ac:dyDescent="0.3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2:50" x14ac:dyDescent="0.3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2:50" x14ac:dyDescent="0.3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2:50" x14ac:dyDescent="0.3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2:50" x14ac:dyDescent="0.3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2:50" x14ac:dyDescent="0.3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2:50" x14ac:dyDescent="0.3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2:50" x14ac:dyDescent="0.3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2:50" x14ac:dyDescent="0.3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2:50" x14ac:dyDescent="0.3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2:50" x14ac:dyDescent="0.3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2:50" x14ac:dyDescent="0.3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</row>
    <row r="66" spans="2:50" x14ac:dyDescent="0.3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</row>
    <row r="67" spans="2:50" x14ac:dyDescent="0.3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</row>
    <row r="68" spans="2:50" x14ac:dyDescent="0.3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</row>
    <row r="69" spans="2:50" x14ac:dyDescent="0.3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</row>
    <row r="70" spans="2:50" x14ac:dyDescent="0.3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</row>
    <row r="71" spans="2:50" x14ac:dyDescent="0.3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</row>
    <row r="72" spans="2:50" x14ac:dyDescent="0.3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</row>
    <row r="73" spans="2:50" x14ac:dyDescent="0.3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</row>
    <row r="74" spans="2:50" x14ac:dyDescent="0.3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</row>
    <row r="75" spans="2:50" x14ac:dyDescent="0.3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</row>
    <row r="76" spans="2:50" x14ac:dyDescent="0.3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</row>
    <row r="77" spans="2:50" x14ac:dyDescent="0.3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</row>
    <row r="78" spans="2:50" x14ac:dyDescent="0.3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</row>
    <row r="79" spans="2:50" x14ac:dyDescent="0.3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</row>
    <row r="80" spans="2:50" x14ac:dyDescent="0.3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</row>
    <row r="81" spans="2:50" x14ac:dyDescent="0.3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</row>
    <row r="82" spans="2:50" x14ac:dyDescent="0.3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</row>
    <row r="83" spans="2:50" x14ac:dyDescent="0.3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</row>
    <row r="84" spans="2:50" x14ac:dyDescent="0.3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</row>
    <row r="85" spans="2:50" x14ac:dyDescent="0.3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</row>
    <row r="86" spans="2:50" x14ac:dyDescent="0.3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</row>
    <row r="87" spans="2:50" x14ac:dyDescent="0.3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</row>
    <row r="88" spans="2:50" x14ac:dyDescent="0.3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</row>
    <row r="89" spans="2:50" x14ac:dyDescent="0.3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</row>
    <row r="90" spans="2:50" x14ac:dyDescent="0.3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</row>
    <row r="91" spans="2:50" x14ac:dyDescent="0.3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</row>
    <row r="92" spans="2:50" x14ac:dyDescent="0.3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</row>
    <row r="93" spans="2:50" x14ac:dyDescent="0.3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</row>
    <row r="94" spans="2:50" x14ac:dyDescent="0.3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</row>
    <row r="95" spans="2:50" x14ac:dyDescent="0.3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</row>
    <row r="96" spans="2:50" x14ac:dyDescent="0.3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</row>
    <row r="97" spans="2:50" x14ac:dyDescent="0.3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</row>
    <row r="98" spans="2:50" x14ac:dyDescent="0.3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</row>
    <row r="99" spans="2:50" x14ac:dyDescent="0.3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</row>
    <row r="100" spans="2:50" x14ac:dyDescent="0.3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</row>
    <row r="101" spans="2:50" x14ac:dyDescent="0.3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</row>
    <row r="102" spans="2:50" x14ac:dyDescent="0.3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</row>
    <row r="103" spans="2:50" x14ac:dyDescent="0.3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</row>
    <row r="104" spans="2:50" x14ac:dyDescent="0.3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</row>
    <row r="105" spans="2:50" x14ac:dyDescent="0.3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</row>
    <row r="106" spans="2:50" x14ac:dyDescent="0.3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</row>
    <row r="107" spans="2:50" x14ac:dyDescent="0.3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</row>
    <row r="108" spans="2:50" x14ac:dyDescent="0.3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</row>
    <row r="109" spans="2:50" x14ac:dyDescent="0.3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</row>
    <row r="110" spans="2:50" x14ac:dyDescent="0.3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</row>
    <row r="111" spans="2:50" x14ac:dyDescent="0.3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</row>
    <row r="112" spans="2:50" x14ac:dyDescent="0.3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</row>
    <row r="113" spans="2:50" x14ac:dyDescent="0.3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</row>
    <row r="114" spans="2:50" x14ac:dyDescent="0.3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</row>
    <row r="115" spans="2:50" x14ac:dyDescent="0.3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</row>
    <row r="116" spans="2:50" x14ac:dyDescent="0.3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</row>
    <row r="117" spans="2:50" x14ac:dyDescent="0.3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</row>
    <row r="118" spans="2:50" x14ac:dyDescent="0.3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</row>
    <row r="119" spans="2:50" x14ac:dyDescent="0.3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</row>
    <row r="120" spans="2:50" x14ac:dyDescent="0.3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</row>
    <row r="121" spans="2:50" x14ac:dyDescent="0.3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</row>
    <row r="122" spans="2:50" x14ac:dyDescent="0.3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</row>
    <row r="123" spans="2:50" x14ac:dyDescent="0.3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</row>
    <row r="124" spans="2:50" x14ac:dyDescent="0.3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</row>
    <row r="125" spans="2:50" x14ac:dyDescent="0.3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</row>
    <row r="126" spans="2:50" x14ac:dyDescent="0.3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</row>
    <row r="127" spans="2:50" x14ac:dyDescent="0.3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</row>
    <row r="128" spans="2:50" x14ac:dyDescent="0.3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</row>
    <row r="129" spans="2:50" x14ac:dyDescent="0.3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</row>
    <row r="130" spans="2:50" x14ac:dyDescent="0.3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</row>
    <row r="131" spans="2:50" x14ac:dyDescent="0.3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</row>
    <row r="132" spans="2:50" x14ac:dyDescent="0.3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</row>
    <row r="133" spans="2:50" x14ac:dyDescent="0.3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</row>
    <row r="134" spans="2:50" x14ac:dyDescent="0.3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</row>
    <row r="135" spans="2:50" x14ac:dyDescent="0.3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</row>
    <row r="136" spans="2:50" x14ac:dyDescent="0.3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</row>
    <row r="137" spans="2:50" x14ac:dyDescent="0.3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</row>
    <row r="138" spans="2:50" x14ac:dyDescent="0.3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</row>
    <row r="139" spans="2:50" x14ac:dyDescent="0.3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</row>
    <row r="140" spans="2:50" x14ac:dyDescent="0.3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</row>
    <row r="141" spans="2:50" x14ac:dyDescent="0.3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</row>
    <row r="142" spans="2:50" x14ac:dyDescent="0.3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</row>
    <row r="143" spans="2:50" x14ac:dyDescent="0.3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</row>
    <row r="144" spans="2:50" x14ac:dyDescent="0.3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</row>
    <row r="145" spans="2:50" x14ac:dyDescent="0.3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</row>
    <row r="146" spans="2:50" x14ac:dyDescent="0.3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</row>
    <row r="147" spans="2:50" x14ac:dyDescent="0.3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</row>
    <row r="148" spans="2:50" x14ac:dyDescent="0.3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</row>
    <row r="149" spans="2:50" x14ac:dyDescent="0.3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</row>
    <row r="150" spans="2:50" x14ac:dyDescent="0.3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</row>
    <row r="151" spans="2:50" x14ac:dyDescent="0.3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</row>
    <row r="152" spans="2:50" x14ac:dyDescent="0.3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</row>
    <row r="153" spans="2:50" x14ac:dyDescent="0.3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</row>
    <row r="154" spans="2:50" x14ac:dyDescent="0.3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</row>
    <row r="155" spans="2:50" x14ac:dyDescent="0.3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</row>
    <row r="156" spans="2:50" x14ac:dyDescent="0.3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</row>
    <row r="157" spans="2:50" x14ac:dyDescent="0.3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</row>
    <row r="158" spans="2:50" x14ac:dyDescent="0.3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</row>
    <row r="159" spans="2:50" x14ac:dyDescent="0.3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</row>
    <row r="160" spans="2:50" x14ac:dyDescent="0.3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</row>
    <row r="161" spans="2:50" x14ac:dyDescent="0.3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</row>
    <row r="162" spans="2:50" x14ac:dyDescent="0.3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</row>
    <row r="163" spans="2:50" x14ac:dyDescent="0.3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</row>
    <row r="164" spans="2:50" x14ac:dyDescent="0.3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</row>
    <row r="165" spans="2:50" x14ac:dyDescent="0.3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</row>
    <row r="166" spans="2:50" x14ac:dyDescent="0.3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</row>
    <row r="167" spans="2:50" x14ac:dyDescent="0.3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</row>
    <row r="168" spans="2:50" x14ac:dyDescent="0.3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</row>
    <row r="169" spans="2:50" x14ac:dyDescent="0.3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</row>
    <row r="170" spans="2:50" x14ac:dyDescent="0.3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</row>
    <row r="171" spans="2:50" x14ac:dyDescent="0.3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</row>
    <row r="172" spans="2:50" x14ac:dyDescent="0.3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</row>
    <row r="173" spans="2:50" x14ac:dyDescent="0.3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</row>
    <row r="174" spans="2:50" x14ac:dyDescent="0.3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</row>
    <row r="175" spans="2:50" x14ac:dyDescent="0.3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</row>
    <row r="176" spans="2:50" x14ac:dyDescent="0.3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</row>
    <row r="177" spans="2:50" x14ac:dyDescent="0.3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</row>
    <row r="178" spans="2:50" x14ac:dyDescent="0.3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</row>
    <row r="179" spans="2:50" x14ac:dyDescent="0.3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</row>
    <row r="180" spans="2:50" x14ac:dyDescent="0.3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</row>
    <row r="181" spans="2:50" x14ac:dyDescent="0.3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</row>
    <row r="182" spans="2:50" x14ac:dyDescent="0.3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</row>
    <row r="183" spans="2:50" x14ac:dyDescent="0.3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</row>
    <row r="184" spans="2:50" x14ac:dyDescent="0.3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</row>
    <row r="185" spans="2:50" x14ac:dyDescent="0.3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</row>
    <row r="186" spans="2:50" x14ac:dyDescent="0.3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</row>
    <row r="187" spans="2:50" x14ac:dyDescent="0.3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</row>
    <row r="188" spans="2:50" x14ac:dyDescent="0.3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</row>
    <row r="189" spans="2:50" x14ac:dyDescent="0.3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</row>
    <row r="190" spans="2:50" x14ac:dyDescent="0.3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</row>
    <row r="191" spans="2:50" x14ac:dyDescent="0.3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</row>
    <row r="192" spans="2:50" x14ac:dyDescent="0.3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</row>
    <row r="193" spans="2:50" x14ac:dyDescent="0.3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</row>
    <row r="194" spans="2:50" x14ac:dyDescent="0.3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</row>
    <row r="195" spans="2:50" x14ac:dyDescent="0.3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</row>
    <row r="196" spans="2:50" x14ac:dyDescent="0.3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</row>
    <row r="197" spans="2:50" x14ac:dyDescent="0.3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</row>
    <row r="198" spans="2:50" x14ac:dyDescent="0.3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</row>
    <row r="199" spans="2:50" x14ac:dyDescent="0.3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</row>
    <row r="200" spans="2:50" x14ac:dyDescent="0.3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</row>
    <row r="201" spans="2:50" x14ac:dyDescent="0.3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</row>
    <row r="202" spans="2:50" x14ac:dyDescent="0.3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</row>
    <row r="203" spans="2:50" x14ac:dyDescent="0.3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</row>
    <row r="204" spans="2:50" x14ac:dyDescent="0.3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</row>
    <row r="205" spans="2:50" x14ac:dyDescent="0.3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</row>
    <row r="206" spans="2:50" x14ac:dyDescent="0.3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</row>
    <row r="207" spans="2:50" x14ac:dyDescent="0.3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</row>
    <row r="208" spans="2:50" x14ac:dyDescent="0.3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</row>
    <row r="209" spans="2:50" x14ac:dyDescent="0.3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</row>
    <row r="210" spans="2:50" x14ac:dyDescent="0.3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</row>
    <row r="211" spans="2:50" x14ac:dyDescent="0.3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</row>
    <row r="212" spans="2:50" x14ac:dyDescent="0.3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</row>
    <row r="213" spans="2:50" x14ac:dyDescent="0.3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</row>
    <row r="214" spans="2:50" x14ac:dyDescent="0.3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</row>
    <row r="215" spans="2:50" x14ac:dyDescent="0.3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</row>
    <row r="216" spans="2:50" x14ac:dyDescent="0.3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</row>
    <row r="217" spans="2:50" x14ac:dyDescent="0.3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</row>
    <row r="218" spans="2:50" x14ac:dyDescent="0.3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</row>
    <row r="219" spans="2:50" x14ac:dyDescent="0.3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</row>
    <row r="220" spans="2:50" x14ac:dyDescent="0.3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</row>
    <row r="221" spans="2:50" x14ac:dyDescent="0.3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</row>
    <row r="222" spans="2:50" x14ac:dyDescent="0.3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</row>
    <row r="223" spans="2:50" x14ac:dyDescent="0.3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</row>
    <row r="224" spans="2:50" x14ac:dyDescent="0.3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</row>
    <row r="225" spans="2:50" x14ac:dyDescent="0.3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</row>
    <row r="226" spans="2:50" x14ac:dyDescent="0.3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</row>
    <row r="227" spans="2:50" x14ac:dyDescent="0.3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</row>
    <row r="228" spans="2:50" x14ac:dyDescent="0.3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</row>
    <row r="229" spans="2:50" x14ac:dyDescent="0.3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</row>
    <row r="230" spans="2:50" x14ac:dyDescent="0.3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</row>
    <row r="231" spans="2:50" x14ac:dyDescent="0.3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</row>
    <row r="232" spans="2:50" x14ac:dyDescent="0.3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</row>
    <row r="233" spans="2:50" x14ac:dyDescent="0.3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</row>
    <row r="234" spans="2:50" x14ac:dyDescent="0.3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</row>
    <row r="235" spans="2:50" x14ac:dyDescent="0.3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</row>
    <row r="236" spans="2:50" x14ac:dyDescent="0.3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</row>
    <row r="237" spans="2:50" x14ac:dyDescent="0.3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</row>
    <row r="238" spans="2:50" x14ac:dyDescent="0.3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</row>
    <row r="239" spans="2:50" x14ac:dyDescent="0.3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</row>
    <row r="240" spans="2:50" x14ac:dyDescent="0.3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</row>
    <row r="241" spans="2:50" x14ac:dyDescent="0.3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</row>
    <row r="242" spans="2:50" x14ac:dyDescent="0.3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</row>
    <row r="243" spans="2:50" x14ac:dyDescent="0.3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</row>
    <row r="244" spans="2:50" x14ac:dyDescent="0.3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</row>
    <row r="245" spans="2:50" x14ac:dyDescent="0.3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</row>
    <row r="246" spans="2:50" x14ac:dyDescent="0.3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</row>
    <row r="247" spans="2:50" x14ac:dyDescent="0.3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</row>
    <row r="248" spans="2:50" x14ac:dyDescent="0.3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</row>
    <row r="249" spans="2:50" x14ac:dyDescent="0.3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</row>
    <row r="250" spans="2:50" x14ac:dyDescent="0.3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</row>
    <row r="251" spans="2:50" x14ac:dyDescent="0.3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</row>
    <row r="252" spans="2:50" x14ac:dyDescent="0.3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</row>
    <row r="253" spans="2:50" x14ac:dyDescent="0.3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</row>
    <row r="254" spans="2:50" x14ac:dyDescent="0.3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</row>
    <row r="255" spans="2:50" x14ac:dyDescent="0.3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</row>
    <row r="256" spans="2:50" x14ac:dyDescent="0.3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</row>
    <row r="257" spans="2:50" x14ac:dyDescent="0.3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</row>
    <row r="258" spans="2:50" x14ac:dyDescent="0.3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</row>
    <row r="259" spans="2:50" x14ac:dyDescent="0.3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</row>
    <row r="260" spans="2:50" x14ac:dyDescent="0.3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</row>
    <row r="261" spans="2:50" x14ac:dyDescent="0.3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</row>
    <row r="262" spans="2:50" x14ac:dyDescent="0.3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</row>
    <row r="263" spans="2:50" x14ac:dyDescent="0.3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</row>
    <row r="264" spans="2:50" x14ac:dyDescent="0.3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</row>
    <row r="265" spans="2:50" x14ac:dyDescent="0.3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</row>
    <row r="266" spans="2:50" x14ac:dyDescent="0.3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</row>
    <row r="267" spans="2:50" x14ac:dyDescent="0.3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</row>
    <row r="268" spans="2:50" x14ac:dyDescent="0.3"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</row>
    <row r="269" spans="2:50" x14ac:dyDescent="0.3"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38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opLeftCell="A8" workbookViewId="0">
      <selection activeCell="C20" sqref="C20"/>
    </sheetView>
  </sheetViews>
  <sheetFormatPr defaultColWidth="0" defaultRowHeight="12.75" customHeight="1" zeroHeight="1" x14ac:dyDescent="0.3"/>
  <cols>
    <col min="1" max="1" width="1.25" style="18" customWidth="1"/>
    <col min="2" max="2" width="2.75" style="18" customWidth="1"/>
    <col min="3" max="13" width="8" style="18" customWidth="1"/>
    <col min="14" max="14" width="11" style="18" customWidth="1"/>
    <col min="15" max="15" width="2" style="18" customWidth="1"/>
    <col min="16" max="16" width="2.25" style="18" customWidth="1"/>
    <col min="17" max="16384" width="7.83203125" hidden="1"/>
  </cols>
  <sheetData>
    <row r="1" spans="1:16" ht="14" x14ac:dyDescent="0.3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4" x14ac:dyDescent="0.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4" x14ac:dyDescent="0.3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4" x14ac:dyDescent="0.3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8" x14ac:dyDescent="0.4">
      <c r="A5" s="80"/>
      <c r="B5" s="82"/>
      <c r="C5" s="83" t="s">
        <v>258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4" x14ac:dyDescent="0.3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4" x14ac:dyDescent="0.3">
      <c r="A7" s="80"/>
      <c r="B7" s="84"/>
      <c r="C7" s="85" t="s">
        <v>278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4" x14ac:dyDescent="0.3">
      <c r="A8" s="80"/>
      <c r="B8" s="84"/>
      <c r="C8" s="85" t="s">
        <v>259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4" x14ac:dyDescent="0.3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4" x14ac:dyDescent="0.3">
      <c r="A10" s="80"/>
      <c r="B10" s="84"/>
      <c r="C10" s="85" t="s">
        <v>260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4" x14ac:dyDescent="0.3">
      <c r="A11" s="80"/>
      <c r="B11" s="84"/>
      <c r="C11" s="89" t="s">
        <v>261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4" x14ac:dyDescent="0.3">
      <c r="A12" s="80"/>
      <c r="B12" s="84"/>
      <c r="C12" s="89" t="s">
        <v>279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4" x14ac:dyDescent="0.3">
      <c r="A13" s="80"/>
      <c r="B13" s="84"/>
      <c r="C13" s="85" t="s">
        <v>262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4" x14ac:dyDescent="0.3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8" x14ac:dyDescent="0.4">
      <c r="A15" s="80"/>
      <c r="B15" s="84"/>
      <c r="C15" s="83" t="s">
        <v>263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4" x14ac:dyDescent="0.3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4" x14ac:dyDescent="0.3">
      <c r="A17" s="80"/>
      <c r="B17" s="84"/>
      <c r="C17" s="85" t="s">
        <v>269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4" x14ac:dyDescent="0.3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4" x14ac:dyDescent="0.3">
      <c r="A19" s="80"/>
      <c r="B19" s="81"/>
      <c r="C19" s="90" t="s">
        <v>264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4" x14ac:dyDescent="0.3">
      <c r="A20" s="80"/>
      <c r="B20" s="84"/>
      <c r="C20" s="84" t="s">
        <v>265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4.5" x14ac:dyDescent="0.35">
      <c r="A21" s="80"/>
      <c r="B21" s="84"/>
      <c r="C21" s="84" t="s">
        <v>280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4.5" x14ac:dyDescent="0.35">
      <c r="A22" s="80"/>
      <c r="B22" s="84"/>
      <c r="C22" s="85" t="s">
        <v>281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4" x14ac:dyDescent="0.3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4" x14ac:dyDescent="0.3">
      <c r="A24" s="80"/>
      <c r="B24" s="84"/>
      <c r="C24" s="90" t="s">
        <v>266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4" x14ac:dyDescent="0.3">
      <c r="A25" s="80"/>
      <c r="B25" s="84"/>
      <c r="C25" s="84" t="s">
        <v>282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4" x14ac:dyDescent="0.3">
      <c r="A26" s="80"/>
      <c r="B26" s="84"/>
      <c r="C26" s="84" t="s">
        <v>267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4" x14ac:dyDescent="0.3">
      <c r="A27" s="80"/>
      <c r="B27" s="84"/>
      <c r="C27" s="85" t="s">
        <v>268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8" x14ac:dyDescent="0.4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4" x14ac:dyDescent="0.3">
      <c r="A29" s="80"/>
      <c r="B29" s="84"/>
      <c r="C29" s="90" t="s">
        <v>270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4" x14ac:dyDescent="0.3">
      <c r="A30" s="80"/>
      <c r="B30" s="84"/>
      <c r="C30" s="84" t="s">
        <v>271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4.5" x14ac:dyDescent="0.35">
      <c r="A31" s="80"/>
      <c r="B31" s="84"/>
      <c r="C31" s="85" t="s">
        <v>283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4" x14ac:dyDescent="0.3">
      <c r="A32" s="80"/>
      <c r="B32" s="84"/>
      <c r="C32" s="85" t="s">
        <v>284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4" x14ac:dyDescent="0.3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4" x14ac:dyDescent="0.3">
      <c r="A34" s="80"/>
      <c r="B34" s="84"/>
      <c r="C34" s="90" t="s">
        <v>272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4" x14ac:dyDescent="0.3">
      <c r="A35" s="80"/>
      <c r="B35" s="84"/>
      <c r="C35" s="85" t="s">
        <v>273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4.5" x14ac:dyDescent="0.35">
      <c r="A36" s="80"/>
      <c r="B36" s="84"/>
      <c r="C36" s="85" t="s">
        <v>285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4.5" x14ac:dyDescent="0.35">
      <c r="A37" s="80"/>
      <c r="B37" s="84"/>
      <c r="C37" s="84" t="s">
        <v>286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4" x14ac:dyDescent="0.3">
      <c r="A38" s="80"/>
      <c r="B38" s="84"/>
      <c r="C38" s="85" t="s">
        <v>274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4" x14ac:dyDescent="0.3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4.5" x14ac:dyDescent="0.35">
      <c r="A40" s="80"/>
      <c r="B40" s="84"/>
      <c r="C40" s="91" t="s">
        <v>287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4" x14ac:dyDescent="0.3">
      <c r="A41" s="80"/>
      <c r="B41" s="84"/>
      <c r="C41" s="84" t="s">
        <v>288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4.5" x14ac:dyDescent="0.35">
      <c r="A42" s="80"/>
      <c r="B42" s="84"/>
      <c r="C42" s="84" t="s">
        <v>289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4" x14ac:dyDescent="0.3">
      <c r="A43" s="80"/>
      <c r="B43" s="84"/>
      <c r="C43" s="84" t="s">
        <v>290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4" x14ac:dyDescent="0.3">
      <c r="A44" s="80"/>
      <c r="B44" s="84"/>
      <c r="C44" s="92" t="s">
        <v>291</v>
      </c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4" x14ac:dyDescent="0.3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4" x14ac:dyDescent="0.3">
      <c r="A46" s="80"/>
      <c r="B46" s="84"/>
      <c r="C46" s="90" t="s">
        <v>275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4" x14ac:dyDescent="0.3">
      <c r="A47" s="80"/>
      <c r="B47" s="84"/>
      <c r="C47" s="84" t="s">
        <v>276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4" x14ac:dyDescent="0.3">
      <c r="A48" s="80"/>
      <c r="B48" s="84"/>
      <c r="C48" s="84" t="s">
        <v>277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4" x14ac:dyDescent="0.3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4" x14ac:dyDescent="0.3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4" x14ac:dyDescent="0.3">
      <c r="A51" s="80"/>
      <c r="B51" s="84"/>
      <c r="C51" s="84" t="s">
        <v>292</v>
      </c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4" x14ac:dyDescent="0.3">
      <c r="A52" s="80"/>
      <c r="B52" s="84"/>
      <c r="C52" s="84" t="s">
        <v>293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4" x14ac:dyDescent="0.3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4" x14ac:dyDescent="0.3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4" x14ac:dyDescent="0.3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4" x14ac:dyDescent="0.3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B2" sqref="B2:B32"/>
    </sheetView>
  </sheetViews>
  <sheetFormatPr defaultColWidth="9" defaultRowHeight="14" x14ac:dyDescent="0.3"/>
  <cols>
    <col min="1" max="1" width="19" style="3" customWidth="1"/>
    <col min="2" max="2" width="22.33203125" style="3" customWidth="1"/>
    <col min="3" max="3" width="22.5" style="3" customWidth="1"/>
    <col min="4" max="4" width="19.33203125" style="3" customWidth="1"/>
    <col min="5" max="5" width="15.75" style="3" customWidth="1"/>
    <col min="6" max="6" width="16" style="3" customWidth="1"/>
    <col min="7" max="7" width="9" style="100"/>
    <col min="8" max="8" width="33.83203125" style="3" customWidth="1"/>
    <col min="9" max="16384" width="9" style="3"/>
  </cols>
  <sheetData>
    <row r="1" spans="1:8" x14ac:dyDescent="0.3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98" t="s">
        <v>98</v>
      </c>
      <c r="H1" s="4" t="s">
        <v>159</v>
      </c>
    </row>
    <row r="2" spans="1:8" x14ac:dyDescent="0.3">
      <c r="A2" s="7" t="s">
        <v>160</v>
      </c>
      <c r="B2" s="8" t="s">
        <v>87</v>
      </c>
      <c r="C2" s="7" t="s">
        <v>22</v>
      </c>
      <c r="D2" s="7" t="s">
        <v>23</v>
      </c>
      <c r="E2" s="7" t="s">
        <v>24</v>
      </c>
      <c r="F2" s="7" t="s">
        <v>213</v>
      </c>
      <c r="G2" s="99">
        <v>0.2</v>
      </c>
      <c r="H2" s="7" t="s">
        <v>161</v>
      </c>
    </row>
    <row r="3" spans="1:8" x14ac:dyDescent="0.3">
      <c r="A3" s="7" t="s">
        <v>44</v>
      </c>
      <c r="B3" s="8" t="s">
        <v>10</v>
      </c>
      <c r="C3" s="7" t="s">
        <v>25</v>
      </c>
      <c r="D3" s="7" t="s">
        <v>26</v>
      </c>
      <c r="E3" s="7" t="s">
        <v>27</v>
      </c>
      <c r="F3" s="7" t="s">
        <v>213</v>
      </c>
      <c r="G3" s="99">
        <v>0</v>
      </c>
      <c r="H3" s="7" t="s">
        <v>162</v>
      </c>
    </row>
    <row r="4" spans="1:8" x14ac:dyDescent="0.3">
      <c r="A4" s="7" t="s">
        <v>45</v>
      </c>
      <c r="B4" s="8" t="s">
        <v>11</v>
      </c>
      <c r="C4" s="7" t="s">
        <v>28</v>
      </c>
      <c r="D4" s="7" t="s">
        <v>30</v>
      </c>
      <c r="E4" s="7" t="s">
        <v>29</v>
      </c>
      <c r="F4" s="7"/>
      <c r="G4" s="99">
        <v>0</v>
      </c>
      <c r="H4" s="7" t="s">
        <v>163</v>
      </c>
    </row>
    <row r="5" spans="1:8" x14ac:dyDescent="0.3">
      <c r="A5" s="7" t="s">
        <v>122</v>
      </c>
      <c r="B5" s="8" t="s">
        <v>12</v>
      </c>
      <c r="C5" s="7" t="s">
        <v>31</v>
      </c>
      <c r="D5" s="7" t="s">
        <v>33</v>
      </c>
      <c r="E5" s="7" t="s">
        <v>32</v>
      </c>
      <c r="F5" s="7"/>
      <c r="G5" s="99">
        <v>0</v>
      </c>
      <c r="H5" s="7" t="s">
        <v>164</v>
      </c>
    </row>
    <row r="6" spans="1:8" x14ac:dyDescent="0.3">
      <c r="A6" s="7" t="s">
        <v>46</v>
      </c>
      <c r="B6" s="8" t="s">
        <v>13</v>
      </c>
      <c r="C6" s="7" t="s">
        <v>34</v>
      </c>
      <c r="D6" s="7" t="s">
        <v>33</v>
      </c>
      <c r="E6" s="7" t="s">
        <v>32</v>
      </c>
      <c r="F6" s="7" t="s">
        <v>213</v>
      </c>
      <c r="G6" s="99">
        <v>0</v>
      </c>
      <c r="H6" s="7" t="s">
        <v>165</v>
      </c>
    </row>
    <row r="7" spans="1:8" x14ac:dyDescent="0.3">
      <c r="A7" s="7" t="s">
        <v>125</v>
      </c>
      <c r="B7" s="8" t="s">
        <v>14</v>
      </c>
      <c r="C7" s="7" t="s">
        <v>35</v>
      </c>
      <c r="D7" s="7" t="s">
        <v>33</v>
      </c>
      <c r="E7" s="7" t="s">
        <v>32</v>
      </c>
      <c r="F7" s="7"/>
      <c r="G7" s="99">
        <v>0</v>
      </c>
      <c r="H7" s="7" t="s">
        <v>166</v>
      </c>
    </row>
    <row r="8" spans="1:8" x14ac:dyDescent="0.3">
      <c r="A8" s="7" t="s">
        <v>121</v>
      </c>
      <c r="B8" s="8" t="s">
        <v>15</v>
      </c>
      <c r="C8" s="7" t="s">
        <v>36</v>
      </c>
      <c r="D8" s="7" t="s">
        <v>37</v>
      </c>
      <c r="E8" s="7" t="s">
        <v>38</v>
      </c>
      <c r="F8" s="7"/>
      <c r="G8" s="99">
        <v>0</v>
      </c>
      <c r="H8" s="7" t="s">
        <v>167</v>
      </c>
    </row>
    <row r="9" spans="1:8" x14ac:dyDescent="0.3">
      <c r="A9" s="7" t="s">
        <v>47</v>
      </c>
      <c r="B9" s="8" t="s">
        <v>85</v>
      </c>
      <c r="C9" s="7" t="s">
        <v>39</v>
      </c>
      <c r="D9" s="7" t="s">
        <v>41</v>
      </c>
      <c r="E9" s="7" t="s">
        <v>40</v>
      </c>
      <c r="F9" s="7"/>
      <c r="G9" s="99">
        <v>0</v>
      </c>
      <c r="H9" s="7" t="s">
        <v>168</v>
      </c>
    </row>
    <row r="10" spans="1:8" x14ac:dyDescent="0.3">
      <c r="A10" s="7" t="s">
        <v>48</v>
      </c>
      <c r="B10" s="8" t="s">
        <v>86</v>
      </c>
      <c r="C10" s="7" t="s">
        <v>39</v>
      </c>
      <c r="D10" s="7" t="s">
        <v>41</v>
      </c>
      <c r="E10" s="7" t="s">
        <v>40</v>
      </c>
      <c r="F10" s="7"/>
      <c r="G10" s="99">
        <v>0</v>
      </c>
      <c r="H10" s="7" t="s">
        <v>169</v>
      </c>
    </row>
    <row r="11" spans="1:8" x14ac:dyDescent="0.3">
      <c r="A11" s="7" t="s">
        <v>49</v>
      </c>
      <c r="B11" s="8" t="s">
        <v>18</v>
      </c>
      <c r="C11" s="7" t="s">
        <v>78</v>
      </c>
      <c r="D11" s="7" t="s">
        <v>43</v>
      </c>
      <c r="E11" s="7" t="s">
        <v>42</v>
      </c>
      <c r="F11" s="7" t="s">
        <v>213</v>
      </c>
      <c r="G11" s="99">
        <v>0</v>
      </c>
      <c r="H11" s="7" t="s">
        <v>170</v>
      </c>
    </row>
    <row r="12" spans="1:8" x14ac:dyDescent="0.3">
      <c r="A12" s="7" t="s">
        <v>50</v>
      </c>
      <c r="B12" s="8" t="s">
        <v>189</v>
      </c>
      <c r="C12" s="7" t="s">
        <v>96</v>
      </c>
      <c r="D12" s="7" t="s">
        <v>97</v>
      </c>
      <c r="E12" s="7" t="s">
        <v>99</v>
      </c>
      <c r="F12" s="7" t="s">
        <v>117</v>
      </c>
      <c r="G12" s="99">
        <v>0</v>
      </c>
      <c r="H12" s="7" t="s">
        <v>255</v>
      </c>
    </row>
    <row r="13" spans="1:8" x14ac:dyDescent="0.3">
      <c r="A13" s="7" t="s">
        <v>51</v>
      </c>
      <c r="B13" s="8" t="s">
        <v>16</v>
      </c>
      <c r="C13" s="7" t="s">
        <v>102</v>
      </c>
      <c r="D13" s="7" t="s">
        <v>103</v>
      </c>
      <c r="E13" s="7" t="s">
        <v>100</v>
      </c>
      <c r="F13" s="7" t="s">
        <v>213</v>
      </c>
      <c r="G13" s="99">
        <v>0</v>
      </c>
      <c r="H13" s="7" t="s">
        <v>171</v>
      </c>
    </row>
    <row r="14" spans="1:8" x14ac:dyDescent="0.3">
      <c r="A14" s="7" t="s">
        <v>190</v>
      </c>
      <c r="B14" s="8" t="s">
        <v>191</v>
      </c>
      <c r="C14" s="7" t="s">
        <v>192</v>
      </c>
      <c r="D14" s="7" t="s">
        <v>193</v>
      </c>
      <c r="E14" s="7" t="s">
        <v>57</v>
      </c>
      <c r="F14" s="7" t="s">
        <v>194</v>
      </c>
      <c r="G14" s="99">
        <v>0.2</v>
      </c>
      <c r="H14" s="7" t="s">
        <v>294</v>
      </c>
    </row>
    <row r="15" spans="1:8" x14ac:dyDescent="0.3">
      <c r="A15" s="7" t="s">
        <v>52</v>
      </c>
      <c r="B15" s="8" t="s">
        <v>195</v>
      </c>
      <c r="C15" s="7" t="s">
        <v>101</v>
      </c>
      <c r="D15" s="7" t="s">
        <v>196</v>
      </c>
      <c r="E15" s="7" t="s">
        <v>57</v>
      </c>
      <c r="F15" s="7" t="s">
        <v>113</v>
      </c>
      <c r="G15" s="99">
        <v>0.2</v>
      </c>
      <c r="H15" s="7" t="s">
        <v>172</v>
      </c>
    </row>
    <row r="16" spans="1:8" x14ac:dyDescent="0.3">
      <c r="A16" s="7" t="s">
        <v>197</v>
      </c>
      <c r="B16" s="8" t="s">
        <v>198</v>
      </c>
      <c r="C16" s="7" t="s">
        <v>199</v>
      </c>
      <c r="D16" s="7" t="s">
        <v>200</v>
      </c>
      <c r="E16" s="7" t="s">
        <v>100</v>
      </c>
      <c r="F16" s="7"/>
      <c r="G16" s="99">
        <v>0</v>
      </c>
      <c r="H16" s="7" t="s">
        <v>295</v>
      </c>
    </row>
    <row r="17" spans="1:8" s="7" customFormat="1" x14ac:dyDescent="0.3">
      <c r="A17" s="7" t="s">
        <v>201</v>
      </c>
      <c r="B17" s="8" t="s">
        <v>202</v>
      </c>
      <c r="C17" s="7" t="s">
        <v>203</v>
      </c>
      <c r="D17" s="7" t="s">
        <v>204</v>
      </c>
      <c r="E17" s="7" t="s">
        <v>100</v>
      </c>
      <c r="G17" s="99">
        <v>0</v>
      </c>
      <c r="H17" s="7" t="s">
        <v>296</v>
      </c>
    </row>
    <row r="18" spans="1:8" s="7" customFormat="1" x14ac:dyDescent="0.3">
      <c r="A18" s="7" t="s">
        <v>53</v>
      </c>
      <c r="B18" s="8" t="s">
        <v>17</v>
      </c>
      <c r="C18" s="7" t="s">
        <v>55</v>
      </c>
      <c r="D18" s="7" t="s">
        <v>56</v>
      </c>
      <c r="E18" s="7" t="s">
        <v>57</v>
      </c>
      <c r="F18" s="7" t="s">
        <v>114</v>
      </c>
      <c r="G18" s="99">
        <v>0.2</v>
      </c>
      <c r="H18" s="7" t="s">
        <v>173</v>
      </c>
    </row>
    <row r="19" spans="1:8" s="7" customFormat="1" x14ac:dyDescent="0.3">
      <c r="A19" s="7" t="s">
        <v>93</v>
      </c>
      <c r="B19" s="8" t="s">
        <v>205</v>
      </c>
      <c r="C19" s="7" t="s">
        <v>94</v>
      </c>
      <c r="D19" s="7" t="s">
        <v>95</v>
      </c>
      <c r="E19" s="7" t="s">
        <v>99</v>
      </c>
      <c r="F19" s="7" t="s">
        <v>118</v>
      </c>
      <c r="G19" s="99">
        <v>0.2</v>
      </c>
      <c r="H19" s="7" t="s">
        <v>174</v>
      </c>
    </row>
    <row r="20" spans="1:8" s="7" customFormat="1" x14ac:dyDescent="0.3">
      <c r="A20" s="7" t="s">
        <v>67</v>
      </c>
      <c r="B20" s="8" t="s">
        <v>83</v>
      </c>
      <c r="C20" s="7" t="s">
        <v>60</v>
      </c>
      <c r="D20" s="7" t="s">
        <v>61</v>
      </c>
      <c r="E20" s="7" t="s">
        <v>57</v>
      </c>
      <c r="F20" s="7" t="s">
        <v>115</v>
      </c>
      <c r="G20" s="99">
        <v>0.2</v>
      </c>
      <c r="H20" s="7" t="s">
        <v>175</v>
      </c>
    </row>
    <row r="21" spans="1:8" s="7" customFormat="1" x14ac:dyDescent="0.3">
      <c r="A21" s="7" t="s">
        <v>124</v>
      </c>
      <c r="B21" s="8" t="s">
        <v>18</v>
      </c>
      <c r="C21" s="7" t="s">
        <v>91</v>
      </c>
      <c r="D21" s="7" t="s">
        <v>92</v>
      </c>
      <c r="E21" s="7" t="s">
        <v>99</v>
      </c>
      <c r="F21" s="7" t="s">
        <v>120</v>
      </c>
      <c r="G21" s="99">
        <v>0.2</v>
      </c>
      <c r="H21" s="7" t="s">
        <v>176</v>
      </c>
    </row>
    <row r="22" spans="1:8" s="7" customFormat="1" x14ac:dyDescent="0.3">
      <c r="A22" s="7" t="s">
        <v>54</v>
      </c>
      <c r="B22" s="9" t="s">
        <v>19</v>
      </c>
      <c r="C22" s="7" t="s">
        <v>58</v>
      </c>
      <c r="D22" s="7" t="s">
        <v>59</v>
      </c>
      <c r="E22" s="7" t="s">
        <v>57</v>
      </c>
      <c r="F22" s="7" t="s">
        <v>116</v>
      </c>
      <c r="G22" s="99">
        <v>0.2</v>
      </c>
      <c r="H22" s="7" t="s">
        <v>177</v>
      </c>
    </row>
    <row r="23" spans="1:8" s="7" customFormat="1" x14ac:dyDescent="0.3">
      <c r="A23" s="7" t="s">
        <v>68</v>
      </c>
      <c r="B23" s="8" t="s">
        <v>84</v>
      </c>
      <c r="C23" s="7" t="s">
        <v>69</v>
      </c>
      <c r="D23" s="7" t="s">
        <v>71</v>
      </c>
      <c r="E23" s="7" t="s">
        <v>70</v>
      </c>
      <c r="F23" s="7" t="s">
        <v>104</v>
      </c>
      <c r="G23" s="99">
        <v>0.19</v>
      </c>
      <c r="H23" s="7" t="s">
        <v>178</v>
      </c>
    </row>
    <row r="24" spans="1:8" s="7" customFormat="1" x14ac:dyDescent="0.3">
      <c r="A24" s="3" t="s">
        <v>77</v>
      </c>
      <c r="B24" s="6" t="s">
        <v>206</v>
      </c>
      <c r="C24" s="3" t="s">
        <v>69</v>
      </c>
      <c r="D24" s="3" t="s">
        <v>71</v>
      </c>
      <c r="E24" s="3" t="s">
        <v>70</v>
      </c>
      <c r="F24" s="3" t="s">
        <v>105</v>
      </c>
      <c r="G24" s="100">
        <v>0.19</v>
      </c>
      <c r="H24" s="3" t="s">
        <v>179</v>
      </c>
    </row>
    <row r="25" spans="1:8" s="7" customFormat="1" x14ac:dyDescent="0.3">
      <c r="A25" s="3" t="s">
        <v>72</v>
      </c>
      <c r="B25" s="6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100">
        <v>0.19</v>
      </c>
      <c r="H25" s="3" t="s">
        <v>180</v>
      </c>
    </row>
    <row r="26" spans="1:8" s="7" customFormat="1" x14ac:dyDescent="0.3">
      <c r="A26" s="3" t="s">
        <v>76</v>
      </c>
      <c r="B26" s="6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100">
        <v>0.19</v>
      </c>
      <c r="H26" s="3" t="s">
        <v>181</v>
      </c>
    </row>
    <row r="27" spans="1:8" s="7" customFormat="1" x14ac:dyDescent="0.3">
      <c r="A27" s="3" t="s">
        <v>123</v>
      </c>
      <c r="B27" s="6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100">
        <v>0.19</v>
      </c>
      <c r="H27" s="3" t="s">
        <v>182</v>
      </c>
    </row>
    <row r="28" spans="1:8" s="7" customFormat="1" x14ac:dyDescent="0.3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100">
        <v>0.2</v>
      </c>
      <c r="H28" s="3" t="s">
        <v>183</v>
      </c>
    </row>
    <row r="29" spans="1:8" x14ac:dyDescent="0.3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100">
        <v>0.2</v>
      </c>
      <c r="H29" s="3" t="s">
        <v>184</v>
      </c>
    </row>
    <row r="30" spans="1:8" x14ac:dyDescent="0.3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100">
        <v>0.2</v>
      </c>
      <c r="H30" s="3" t="s">
        <v>185</v>
      </c>
    </row>
    <row r="31" spans="1:8" x14ac:dyDescent="0.3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100">
        <v>0.2</v>
      </c>
      <c r="H31" s="3" t="s">
        <v>186</v>
      </c>
    </row>
    <row r="32" spans="1:8" x14ac:dyDescent="0.3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100">
        <v>0.2</v>
      </c>
      <c r="H32" s="3" t="s">
        <v>187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D20" sqref="D20"/>
    </sheetView>
  </sheetViews>
  <sheetFormatPr defaultRowHeight="14" x14ac:dyDescent="0.3"/>
  <cols>
    <col min="1" max="1" width="1.5" customWidth="1"/>
    <col min="2" max="2" width="37.33203125" customWidth="1"/>
    <col min="3" max="3" width="20" customWidth="1"/>
    <col min="4" max="4" width="12.5" customWidth="1"/>
    <col min="5" max="5" width="7.08203125" customWidth="1"/>
  </cols>
  <sheetData>
    <row r="1" spans="2:4" ht="13.5" customHeight="1" x14ac:dyDescent="0.3"/>
    <row r="2" spans="2:4" x14ac:dyDescent="0.3">
      <c r="B2" t="s">
        <v>126</v>
      </c>
    </row>
    <row r="3" spans="2:4" x14ac:dyDescent="0.3">
      <c r="B3" t="s">
        <v>127</v>
      </c>
    </row>
    <row r="4" spans="2:4" x14ac:dyDescent="0.3">
      <c r="B4" t="s">
        <v>128</v>
      </c>
    </row>
    <row r="5" spans="2:4" x14ac:dyDescent="0.3">
      <c r="B5" t="s">
        <v>129</v>
      </c>
    </row>
    <row r="7" spans="2:4" x14ac:dyDescent="0.3">
      <c r="C7" s="25" t="s">
        <v>212</v>
      </c>
      <c r="D7" s="94">
        <v>15076</v>
      </c>
    </row>
    <row r="8" spans="2:4" x14ac:dyDescent="0.3">
      <c r="C8" s="25" t="s">
        <v>9</v>
      </c>
      <c r="D8" s="26">
        <v>43154</v>
      </c>
    </row>
    <row r="9" spans="2:4" x14ac:dyDescent="0.3">
      <c r="C9" s="25" t="s">
        <v>130</v>
      </c>
      <c r="D9" s="25" t="s">
        <v>140</v>
      </c>
    </row>
    <row r="12" spans="2:4" x14ac:dyDescent="0.3">
      <c r="B12" t="s">
        <v>81</v>
      </c>
    </row>
    <row r="13" spans="2:4" x14ac:dyDescent="0.3">
      <c r="B13" t="s">
        <v>64</v>
      </c>
    </row>
    <row r="15" spans="2:4" x14ac:dyDescent="0.3">
      <c r="B15" t="s">
        <v>60</v>
      </c>
    </row>
    <row r="16" spans="2:4" x14ac:dyDescent="0.3">
      <c r="B16" t="s">
        <v>61</v>
      </c>
    </row>
    <row r="17" spans="2:5" x14ac:dyDescent="0.3">
      <c r="B17" t="s">
        <v>57</v>
      </c>
    </row>
    <row r="20" spans="2:5" ht="33.75" customHeight="1" x14ac:dyDescent="0.3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3">
      <c r="B21" s="27" t="s">
        <v>254</v>
      </c>
      <c r="C21" s="33">
        <v>43034</v>
      </c>
      <c r="D21" s="29">
        <v>4800</v>
      </c>
      <c r="E21" s="30">
        <v>0.2</v>
      </c>
    </row>
    <row r="22" spans="2:5" x14ac:dyDescent="0.3">
      <c r="B22" s="27"/>
      <c r="C22" s="28"/>
      <c r="D22" s="29"/>
      <c r="E22" s="30"/>
    </row>
    <row r="23" spans="2:5" x14ac:dyDescent="0.3">
      <c r="B23" s="27"/>
      <c r="C23" s="28"/>
      <c r="D23" s="29"/>
      <c r="E23" s="30"/>
    </row>
    <row r="24" spans="2:5" x14ac:dyDescent="0.3">
      <c r="B24" s="27"/>
      <c r="C24" s="28"/>
      <c r="D24" s="29"/>
      <c r="E24" s="30"/>
    </row>
    <row r="25" spans="2:5" ht="21.75" customHeight="1" x14ac:dyDescent="0.3">
      <c r="C25" s="1" t="s">
        <v>134</v>
      </c>
      <c r="D25" s="5">
        <f>SUM(D21:D24)</f>
        <v>4800</v>
      </c>
    </row>
    <row r="26" spans="2:5" ht="21.75" customHeight="1" x14ac:dyDescent="0.3">
      <c r="C26" s="1" t="s">
        <v>98</v>
      </c>
      <c r="D26" s="5">
        <f>SUMPRODUCT(D21:D24*E21:E24)</f>
        <v>960</v>
      </c>
    </row>
    <row r="27" spans="2:5" ht="21.75" customHeight="1" x14ac:dyDescent="0.35">
      <c r="C27" s="2" t="s">
        <v>135</v>
      </c>
      <c r="D27" s="5">
        <f>D25+D26</f>
        <v>5760</v>
      </c>
    </row>
    <row r="28" spans="2:5" ht="34.5" customHeight="1" x14ac:dyDescent="0.3"/>
    <row r="29" spans="2:5" ht="42.75" customHeight="1" x14ac:dyDescent="0.3"/>
    <row r="30" spans="2:5" ht="55.5" customHeight="1" x14ac:dyDescent="0.3"/>
    <row r="31" spans="2:5" x14ac:dyDescent="0.3">
      <c r="B31" t="s">
        <v>136</v>
      </c>
    </row>
    <row r="32" spans="2:5" x14ac:dyDescent="0.3">
      <c r="B32" t="s">
        <v>297</v>
      </c>
    </row>
    <row r="33" spans="2:2" x14ac:dyDescent="0.3">
      <c r="B33" t="s">
        <v>137</v>
      </c>
    </row>
    <row r="34" spans="2:2" x14ac:dyDescent="0.3">
      <c r="B34" t="s">
        <v>138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E3" sqref="E3"/>
    </sheetView>
  </sheetViews>
  <sheetFormatPr defaultRowHeight="14" x14ac:dyDescent="0.3"/>
  <cols>
    <col min="2" max="2" width="13.33203125" customWidth="1"/>
    <col min="3" max="3" width="9.83203125" bestFit="1" customWidth="1"/>
    <col min="4" max="4" width="11.25" bestFit="1" customWidth="1"/>
    <col min="5" max="5" width="13" customWidth="1"/>
  </cols>
  <sheetData>
    <row r="1" spans="1:11" x14ac:dyDescent="0.3">
      <c r="A1" s="20" t="s">
        <v>210</v>
      </c>
      <c r="B1" s="20"/>
      <c r="C1" s="20"/>
      <c r="D1" s="20"/>
      <c r="E1" s="20"/>
      <c r="F1" s="20"/>
      <c r="G1" s="20"/>
      <c r="H1" s="20"/>
      <c r="I1" s="20"/>
      <c r="J1" s="20"/>
    </row>
    <row r="3" spans="1:11" x14ac:dyDescent="0.3">
      <c r="A3" t="s">
        <v>211</v>
      </c>
      <c r="D3" t="s">
        <v>257</v>
      </c>
      <c r="E3" s="21">
        <f ca="1">Dashboard!C1</f>
        <v>44445</v>
      </c>
      <c r="K3" t="s">
        <v>256</v>
      </c>
    </row>
    <row r="5" spans="1:11" x14ac:dyDescent="0.3">
      <c r="B5" s="22" t="s">
        <v>9</v>
      </c>
      <c r="C5" t="s">
        <v>207</v>
      </c>
    </row>
    <row r="6" spans="1:11" x14ac:dyDescent="0.3">
      <c r="A6" s="21"/>
      <c r="B6" s="24">
        <v>42736</v>
      </c>
      <c r="C6" s="23">
        <f ca="1">IF(B6&gt;$E$3,"",SUMIFS(InvoiceTable[Net Amount],InvoiceTable[Invoice Date],"&gt;="&amp;DATE(YEAR(B6),MONTH(B6),1),InvoiceTable[Invoice Date],"&lt;"&amp;DATE(YEAR(B6),MONTH(B6)+1,1),InvoiceTable[Status],"paid"))</f>
        <v>0</v>
      </c>
      <c r="F6" s="21"/>
    </row>
    <row r="7" spans="1:11" x14ac:dyDescent="0.3">
      <c r="B7" s="24">
        <v>42767</v>
      </c>
      <c r="C7" s="23">
        <f ca="1"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">
      <c r="B8" s="24">
        <v>42795</v>
      </c>
      <c r="C8" s="23">
        <f ca="1"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">
      <c r="B9" s="24">
        <v>42826</v>
      </c>
      <c r="C9" s="23">
        <f ca="1"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">
      <c r="B10" s="24">
        <v>42856</v>
      </c>
      <c r="C10" s="23">
        <f ca="1"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">
      <c r="B11" s="24">
        <v>42887</v>
      </c>
      <c r="C11" s="23">
        <f ca="1"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">
      <c r="B12" s="24">
        <v>42917</v>
      </c>
      <c r="C12" s="23">
        <f ca="1"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">
      <c r="B13" s="24">
        <v>42948</v>
      </c>
      <c r="C13" s="23">
        <f ca="1"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">
      <c r="B14" s="24">
        <v>42979</v>
      </c>
      <c r="C14" s="23">
        <f ca="1"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">
      <c r="B15" s="24">
        <v>43009</v>
      </c>
      <c r="C15" s="23">
        <f ca="1"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">
      <c r="B16" s="24">
        <v>43040</v>
      </c>
      <c r="C16" s="23">
        <f ca="1"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">
      <c r="B17" s="24">
        <v>43070</v>
      </c>
      <c r="C17" s="23">
        <f ca="1"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">
      <c r="B18" s="24">
        <v>43101</v>
      </c>
      <c r="C18" s="23">
        <f ca="1"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3">
      <c r="B19" s="24">
        <v>43132</v>
      </c>
      <c r="C19" s="23">
        <f ca="1">IF(B19&gt;$E$3,"",SUMIFS(InvoiceTable[Net Amount],InvoiceTable[Invoice Date],"&gt;="&amp;DATE(YEAR(B19),MONTH(B19),1),InvoiceTable[Invoice Date],"&lt;"&amp;DATE(YEAR(B19),MONTH(B19)+1,1),InvoiceTable[Status],"paid"))</f>
        <v>20600</v>
      </c>
    </row>
    <row r="20" spans="2:3" x14ac:dyDescent="0.3">
      <c r="B20" s="24">
        <v>43160</v>
      </c>
      <c r="C20" s="23">
        <f ca="1">IF(B20&gt;$E$3,"",SUMIFS(InvoiceTable[Net Amount],InvoiceTable[Invoice Date],"&gt;="&amp;DATE(YEAR(B20),MONTH(B20),1),InvoiceTable[Invoice Date],"&lt;"&amp;DATE(YEAR(B20),MONTH(B20)+1,1),InvoiceTable[Status],"paid"))</f>
        <v>0</v>
      </c>
    </row>
    <row r="21" spans="2:3" x14ac:dyDescent="0.3">
      <c r="B21" s="24">
        <v>43191</v>
      </c>
      <c r="C21" s="23">
        <f ca="1">IF(B21&gt;$E$3,"",SUMIFS(InvoiceTable[Net Amount],InvoiceTable[Invoice Date],"&gt;="&amp;DATE(YEAR(B21),MONTH(B21),1),InvoiceTable[Invoice Date],"&lt;"&amp;DATE(YEAR(B21),MONTH(B21)+1,1),InvoiceTable[Status],"paid"))</f>
        <v>0</v>
      </c>
    </row>
    <row r="22" spans="2:3" x14ac:dyDescent="0.3">
      <c r="B22" s="24">
        <v>43221</v>
      </c>
      <c r="C22" s="23">
        <f ca="1">IF(B22&gt;$E$3,"",SUMIFS(InvoiceTable[Net Amount],InvoiceTable[Invoice Date],"&gt;="&amp;DATE(YEAR(B22),MONTH(B22),1),InvoiceTable[Invoice Date],"&lt;"&amp;DATE(YEAR(B22),MONTH(B22)+1,1),InvoiceTable[Status],"paid"))</f>
        <v>0</v>
      </c>
    </row>
    <row r="23" spans="2:3" x14ac:dyDescent="0.3">
      <c r="B23" s="24">
        <v>43252</v>
      </c>
      <c r="C23" s="23">
        <f ca="1">IF(B23&gt;$E$3,"",SUMIFS(InvoiceTable[Net Amount],InvoiceTable[Invoice Date],"&gt;="&amp;DATE(YEAR(B23),MONTH(B23),1),InvoiceTable[Invoice Date],"&lt;"&amp;DATE(YEAR(B23),MONTH(B23)+1,1),InvoiceTable[Status],"paid"))</f>
        <v>0</v>
      </c>
    </row>
    <row r="24" spans="2:3" x14ac:dyDescent="0.3">
      <c r="B24" s="24">
        <v>43282</v>
      </c>
      <c r="C24" s="23">
        <f ca="1"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3">
      <c r="B25" s="24">
        <v>43313</v>
      </c>
      <c r="C25" s="23">
        <f ca="1">IF(B25&gt;$E$3,"",SUMIFS(InvoiceTable[Net Amount],InvoiceTable[Invoice Date],"&gt;="&amp;DATE(YEAR(B25),MONTH(B25),1),InvoiceTable[Invoice Date],"&lt;"&amp;DATE(YEAR(B25),MONTH(B25)+1,1),InvoiceTable[Status],"paid"))</f>
        <v>0</v>
      </c>
    </row>
    <row r="26" spans="2:3" x14ac:dyDescent="0.3">
      <c r="B26" s="24">
        <v>43344</v>
      </c>
      <c r="C26" s="23">
        <f ca="1">IF(B26&gt;$E$3,"",SUMIFS(InvoiceTable[Net Amount],InvoiceTable[Invoice Date],"&gt;="&amp;DATE(YEAR(B26),MONTH(B26),1),InvoiceTable[Invoice Date],"&lt;"&amp;DATE(YEAR(B26),MONTH(B26)+1,1),InvoiceTable[Status],"paid"))</f>
        <v>0</v>
      </c>
    </row>
    <row r="27" spans="2:3" x14ac:dyDescent="0.3">
      <c r="B27" s="24">
        <v>43374</v>
      </c>
      <c r="C27" s="23">
        <f ca="1">IF(B27&gt;$E$3,"",SUMIFS(InvoiceTable[Net Amount],InvoiceTable[Invoice Date],"&gt;="&amp;DATE(YEAR(B27),MONTH(B27),1),InvoiceTable[Invoice Date],"&lt;"&amp;DATE(YEAR(B27),MONTH(B27)+1,1),InvoiceTable[Status],"paid"))</f>
        <v>0</v>
      </c>
    </row>
    <row r="28" spans="2:3" x14ac:dyDescent="0.3">
      <c r="B28" s="24">
        <v>43405</v>
      </c>
      <c r="C28" s="23">
        <f ca="1">IF(B28&gt;$E$3,"",SUMIFS(InvoiceTable[Net Amount],InvoiceTable[Invoice Date],"&gt;="&amp;DATE(YEAR(B28),MONTH(B28),1),InvoiceTable[Invoice Date],"&lt;"&amp;DATE(YEAR(B28),MONTH(B28)+1,1),InvoiceTable[Status],"paid"))</f>
        <v>0</v>
      </c>
    </row>
    <row r="29" spans="2:3" x14ac:dyDescent="0.3">
      <c r="B29" s="24">
        <v>43435</v>
      </c>
      <c r="C29" s="23">
        <f ca="1">IF(B29&gt;$E$3,"",SUMIFS(InvoiceTable[Net Amount],InvoiceTable[Invoice Date],"&gt;="&amp;DATE(YEAR(B29),MONTH(B29),1),InvoiceTable[Invoice Date],"&lt;"&amp;DATE(YEAR(B29),MONTH(B29)+1,1),InvoiceTable[Status],"paid"))</f>
        <v>0</v>
      </c>
    </row>
    <row r="30" spans="2:3" x14ac:dyDescent="0.3">
      <c r="B30" s="24">
        <v>43466</v>
      </c>
      <c r="C30" s="23">
        <f ca="1">IF(B30&gt;$E$3,"",SUMIFS(InvoiceTable[Net Amount],InvoiceTable[Invoice Date],"&gt;="&amp;DATE(YEAR(B30),MONTH(B30),1),InvoiceTable[Invoice Date],"&lt;"&amp;DATE(YEAR(B30),MONTH(B30)+1,1),InvoiceTable[Status],"paid"))</f>
        <v>0</v>
      </c>
    </row>
    <row r="31" spans="2:3" x14ac:dyDescent="0.3">
      <c r="B31" s="24">
        <v>43497</v>
      </c>
      <c r="C31" s="23">
        <f ca="1">IF(B31&gt;$E$3,"",SUMIFS(InvoiceTable[Net Amount],InvoiceTable[Invoice Date],"&gt;="&amp;DATE(YEAR(B31),MONTH(B31),1),InvoiceTable[Invoice Date],"&lt;"&amp;DATE(YEAR(B31),MONTH(B31)+1,1),InvoiceTable[Status],"paid"))</f>
        <v>0</v>
      </c>
    </row>
    <row r="32" spans="2:3" x14ac:dyDescent="0.3">
      <c r="B32" s="24">
        <v>43525</v>
      </c>
      <c r="C32" s="23">
        <f ca="1">IF(B32&gt;$E$3,"",SUMIFS(InvoiceTable[Net Amount],InvoiceTable[Invoice Date],"&gt;="&amp;DATE(YEAR(B32),MONTH(B32),1),InvoiceTable[Invoice Date],"&lt;"&amp;DATE(YEAR(B32),MONTH(B32)+1,1),InvoiceTable[Status],"paid"))</f>
        <v>0</v>
      </c>
    </row>
    <row r="33" spans="2:3" x14ac:dyDescent="0.3">
      <c r="B33" s="24">
        <v>43556</v>
      </c>
      <c r="C33" s="23">
        <f ca="1">IF(B33&gt;$E$3,"",SUMIFS(InvoiceTable[Net Amount],InvoiceTable[Invoice Date],"&gt;="&amp;DATE(YEAR(B33),MONTH(B33),1),InvoiceTable[Invoice Date],"&lt;"&amp;DATE(YEAR(B33),MONTH(B33)+1,1),InvoiceTable[Status],"paid"))</f>
        <v>0</v>
      </c>
    </row>
    <row r="34" spans="2:3" x14ac:dyDescent="0.3">
      <c r="B34" s="24">
        <v>43586</v>
      </c>
      <c r="C34" s="23">
        <f ca="1">IF(B34&gt;$E$3,"",SUMIFS(InvoiceTable[Net Amount],InvoiceTable[Invoice Date],"&gt;="&amp;DATE(YEAR(B34),MONTH(B34),1),InvoiceTable[Invoice Date],"&lt;"&amp;DATE(YEAR(B34),MONTH(B34)+1,1),InvoiceTable[Status],"paid"))</f>
        <v>0</v>
      </c>
    </row>
    <row r="35" spans="2:3" x14ac:dyDescent="0.3">
      <c r="B35" s="24">
        <v>43617</v>
      </c>
      <c r="C35" s="23">
        <f ca="1">IF(B35&gt;$E$3,"",SUMIFS(InvoiceTable[Net Amount],InvoiceTable[Invoice Date],"&gt;="&amp;DATE(YEAR(B35),MONTH(B35),1),InvoiceTable[Invoice Date],"&lt;"&amp;DATE(YEAR(B35),MONTH(B35)+1,1),InvoiceTable[Status],"paid"))</f>
        <v>0</v>
      </c>
    </row>
    <row r="36" spans="2:3" x14ac:dyDescent="0.3">
      <c r="B36" s="24">
        <v>43647</v>
      </c>
      <c r="C36" s="23">
        <f ca="1">IF(B36&gt;$E$3,"",SUMIFS(InvoiceTable[Net Amount],InvoiceTable[Invoice Date],"&gt;="&amp;DATE(YEAR(B36),MONTH(B36),1),InvoiceTable[Invoice Date],"&lt;"&amp;DATE(YEAR(B36),MONTH(B36)+1,1),InvoiceTable[Status],"paid"))</f>
        <v>0</v>
      </c>
    </row>
    <row r="37" spans="2:3" x14ac:dyDescent="0.3">
      <c r="B37" s="24">
        <v>43678</v>
      </c>
      <c r="C37" s="23">
        <f ca="1">IF(B37&gt;$E$3,"",SUMIFS(InvoiceTable[Net Amount],InvoiceTable[Invoice Date],"&gt;="&amp;DATE(YEAR(B37),MONTH(B37),1),InvoiceTable[Invoice Date],"&lt;"&amp;DATE(YEAR(B37),MONTH(B37)+1,1),InvoiceTable[Status],"paid"))</f>
        <v>0</v>
      </c>
    </row>
    <row r="38" spans="2:3" x14ac:dyDescent="0.3">
      <c r="B38" s="24">
        <v>43709</v>
      </c>
      <c r="C38" s="23">
        <f ca="1">IF(B38&gt;$E$3,"",SUMIFS(InvoiceTable[Net Amount],InvoiceTable[Invoice Date],"&gt;="&amp;DATE(YEAR(B38),MONTH(B38),1),InvoiceTable[Invoice Date],"&lt;"&amp;DATE(YEAR(B38),MONTH(B38)+1,1),InvoiceTable[Status],"paid"))</f>
        <v>0</v>
      </c>
    </row>
    <row r="39" spans="2:3" x14ac:dyDescent="0.3">
      <c r="B39" s="24">
        <v>43739</v>
      </c>
      <c r="C39" s="23">
        <f ca="1">IF(B39&gt;$E$3,"",SUMIFS(InvoiceTable[Net Amount],InvoiceTable[Invoice Date],"&gt;="&amp;DATE(YEAR(B39),MONTH(B39),1),InvoiceTable[Invoice Date],"&lt;"&amp;DATE(YEAR(B39),MONTH(B39)+1,1),InvoiceTable[Status],"paid"))</f>
        <v>0</v>
      </c>
    </row>
    <row r="40" spans="2:3" x14ac:dyDescent="0.3">
      <c r="B40" s="24">
        <v>43770</v>
      </c>
      <c r="C40" s="23">
        <f ca="1">IF(B40&gt;$E$3,"",SUMIFS(InvoiceTable[Net Amount],InvoiceTable[Invoice Date],"&gt;="&amp;DATE(YEAR(B40),MONTH(B40),1),InvoiceTable[Invoice Date],"&lt;"&amp;DATE(YEAR(B40),MONTH(B40)+1,1),InvoiceTable[Status],"paid"))</f>
        <v>0</v>
      </c>
    </row>
    <row r="41" spans="2:3" x14ac:dyDescent="0.3">
      <c r="B41" s="24">
        <v>43800</v>
      </c>
      <c r="C41" s="23">
        <f ca="1">IF(B41&gt;$E$3,"",SUMIFS(InvoiceTable[Net Amount],InvoiceTable[Invoice Date],"&gt;="&amp;DATE(YEAR(B41),MONTH(B41),1),InvoiceTable[Invoice Date],"&lt;"&amp;DATE(YEAR(B41),MONTH(B41)+1,1),InvoiceTable[Status],"paid"))</f>
        <v>0</v>
      </c>
    </row>
    <row r="42" spans="2:3" x14ac:dyDescent="0.3">
      <c r="B42" s="24">
        <v>43831</v>
      </c>
      <c r="C42" s="23">
        <f ca="1">IF(B42&gt;$E$3,"",SUMIFS(InvoiceTable[Net Amount],InvoiceTable[Invoice Date],"&gt;="&amp;DATE(YEAR(B42),MONTH(B42),1),InvoiceTable[Invoice Date],"&lt;"&amp;DATE(YEAR(B42),MONTH(B42)+1,1),InvoiceTable[Status],"paid"))</f>
        <v>0</v>
      </c>
    </row>
    <row r="43" spans="2:3" x14ac:dyDescent="0.3">
      <c r="B43" s="24">
        <v>43862</v>
      </c>
      <c r="C43" s="23">
        <f ca="1">IF(B43&gt;$E$3,"",SUMIFS(InvoiceTable[Net Amount],InvoiceTable[Invoice Date],"&gt;="&amp;DATE(YEAR(B43),MONTH(B43),1),InvoiceTable[Invoice Date],"&lt;"&amp;DATE(YEAR(B43),MONTH(B43)+1,1),InvoiceTable[Status],"paid"))</f>
        <v>0</v>
      </c>
    </row>
    <row r="44" spans="2:3" x14ac:dyDescent="0.3">
      <c r="B44" s="24">
        <v>43891</v>
      </c>
      <c r="C44" s="23">
        <f ca="1">IF(B44&gt;$E$3,"",SUMIFS(InvoiceTable[Net Amount],InvoiceTable[Invoice Date],"&gt;="&amp;DATE(YEAR(B44),MONTH(B44),1),InvoiceTable[Invoice Date],"&lt;"&amp;DATE(YEAR(B44),MONTH(B44)+1,1),InvoiceTable[Status],"paid"))</f>
        <v>0</v>
      </c>
    </row>
    <row r="45" spans="2:3" x14ac:dyDescent="0.3">
      <c r="B45" s="24">
        <v>43922</v>
      </c>
      <c r="C45" s="23">
        <f ca="1">IF(B45&gt;$E$3,"",SUMIFS(InvoiceTable[Net Amount],InvoiceTable[Invoice Date],"&gt;="&amp;DATE(YEAR(B45),MONTH(B45),1),InvoiceTable[Invoice Date],"&lt;"&amp;DATE(YEAR(B45),MONTH(B45)+1,1),InvoiceTable[Status],"paid"))</f>
        <v>0</v>
      </c>
    </row>
    <row r="46" spans="2:3" x14ac:dyDescent="0.3">
      <c r="B46" s="24">
        <v>43952</v>
      </c>
      <c r="C46" s="23">
        <f ca="1">IF(B46&gt;$E$3,"",SUMIFS(InvoiceTable[Net Amount],InvoiceTable[Invoice Date],"&gt;="&amp;DATE(YEAR(B46),MONTH(B46),1),InvoiceTable[Invoice Date],"&lt;"&amp;DATE(YEAR(B46),MONTH(B46)+1,1),InvoiceTable[Status],"paid"))</f>
        <v>0</v>
      </c>
    </row>
    <row r="47" spans="2:3" x14ac:dyDescent="0.3">
      <c r="B47" s="24">
        <v>43983</v>
      </c>
      <c r="C47" s="23">
        <f ca="1">IF(B47&gt;$E$3,"",SUMIFS(InvoiceTable[Net Amount],InvoiceTable[Invoice Date],"&gt;="&amp;DATE(YEAR(B47),MONTH(B47),1),InvoiceTable[Invoice Date],"&lt;"&amp;DATE(YEAR(B47),MONTH(B47)+1,1),InvoiceTable[Status],"paid"))</f>
        <v>0</v>
      </c>
    </row>
    <row r="48" spans="2:3" x14ac:dyDescent="0.3">
      <c r="B48" s="24">
        <v>44013</v>
      </c>
      <c r="C48" s="23">
        <f ca="1">IF(B48&gt;$E$3,"",SUMIFS(InvoiceTable[Net Amount],InvoiceTable[Invoice Date],"&gt;="&amp;DATE(YEAR(B48),MONTH(B48),1),InvoiceTable[Invoice Date],"&lt;"&amp;DATE(YEAR(B48),MONTH(B48)+1,1),InvoiceTable[Status],"paid"))</f>
        <v>0</v>
      </c>
    </row>
    <row r="49" spans="2:3" x14ac:dyDescent="0.3">
      <c r="B49" s="24">
        <v>44044</v>
      </c>
      <c r="C49" s="23">
        <f ca="1">IF(B49&gt;$E$3,"",SUMIFS(InvoiceTable[Net Amount],InvoiceTable[Invoice Date],"&gt;="&amp;DATE(YEAR(B49),MONTH(B49),1),InvoiceTable[Invoice Date],"&lt;"&amp;DATE(YEAR(B49),MONTH(B49)+1,1),InvoiceTable[Status],"paid"))</f>
        <v>0</v>
      </c>
    </row>
    <row r="50" spans="2:3" x14ac:dyDescent="0.3">
      <c r="B50" s="24">
        <v>44075</v>
      </c>
      <c r="C50" s="23">
        <f ca="1">IF(B50&gt;$E$3,"",SUMIFS(InvoiceTable[Net Amount],InvoiceTable[Invoice Date],"&gt;="&amp;DATE(YEAR(B50),MONTH(B50),1),InvoiceTable[Invoice Date],"&lt;"&amp;DATE(YEAR(B50),MONTH(B50)+1,1),InvoiceTable[Status],"paid"))</f>
        <v>0</v>
      </c>
    </row>
    <row r="51" spans="2:3" x14ac:dyDescent="0.3">
      <c r="B51" s="24">
        <v>44105</v>
      </c>
      <c r="C51" s="23">
        <f ca="1">IF(B51&gt;$E$3,"",SUMIFS(InvoiceTable[Net Amount],InvoiceTable[Invoice Date],"&gt;="&amp;DATE(YEAR(B51),MONTH(B51),1),InvoiceTable[Invoice Date],"&lt;"&amp;DATE(YEAR(B51),MONTH(B51)+1,1),InvoiceTable[Status],"paid"))</f>
        <v>0</v>
      </c>
    </row>
    <row r="52" spans="2:3" x14ac:dyDescent="0.3">
      <c r="B52" s="24">
        <v>44136</v>
      </c>
      <c r="C52" s="23">
        <f ca="1">IF(B52&gt;$E$3,"",SUMIFS(InvoiceTable[Net Amount],InvoiceTable[Invoice Date],"&gt;="&amp;DATE(YEAR(B52),MONTH(B52),1),InvoiceTable[Invoice Date],"&lt;"&amp;DATE(YEAR(B52),MONTH(B52)+1,1),InvoiceTable[Status],"paid"))</f>
        <v>0</v>
      </c>
    </row>
    <row r="53" spans="2:3" x14ac:dyDescent="0.3">
      <c r="B53" s="24">
        <v>44166</v>
      </c>
      <c r="C53" s="23">
        <f ca="1">IF(B53&gt;$E$3,"",SUMIFS(InvoiceTable[Net Amount],InvoiceTable[Invoice Date],"&gt;="&amp;DATE(YEAR(B53),MONTH(B53),1),InvoiceTable[Invoice Date],"&lt;"&amp;DATE(YEAR(B53),MONTH(B53)+1,1),InvoiceTable[Status],"paid"))</f>
        <v>0</v>
      </c>
    </row>
    <row r="54" spans="2:3" x14ac:dyDescent="0.3">
      <c r="B54" s="21"/>
    </row>
    <row r="55" spans="2:3" x14ac:dyDescent="0.3">
      <c r="B55" s="21"/>
    </row>
    <row r="56" spans="2:3" x14ac:dyDescent="0.3">
      <c r="B56" s="21"/>
    </row>
    <row r="57" spans="2:3" x14ac:dyDescent="0.3">
      <c r="B57" s="21"/>
    </row>
    <row r="58" spans="2:3" x14ac:dyDescent="0.3">
      <c r="B58" s="21"/>
    </row>
    <row r="59" spans="2:3" x14ac:dyDescent="0.3">
      <c r="B59" s="21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Invoice</vt:lpstr>
      <vt:lpstr>Instructions</vt:lpstr>
      <vt:lpstr>Masterdata</vt:lpstr>
      <vt:lpstr>Template</vt:lpstr>
      <vt:lpstr>Calculation</vt:lpstr>
      <vt:lpstr>myCompany</vt:lpstr>
      <vt:lpstr>mycustomer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You, Ran</cp:lastModifiedBy>
  <cp:lastPrinted>2017-12-21T12:43:58Z</cp:lastPrinted>
  <dcterms:created xsi:type="dcterms:W3CDTF">2017-10-05T08:02:23Z</dcterms:created>
  <dcterms:modified xsi:type="dcterms:W3CDTF">2021-09-07T00:53:41Z</dcterms:modified>
</cp:coreProperties>
</file>