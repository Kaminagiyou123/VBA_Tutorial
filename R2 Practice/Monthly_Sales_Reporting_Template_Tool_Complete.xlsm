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7" codeName="{3D1A710C-6663-3D7B-7F91-EC182F24A4BC}"/>
  <workbookPr codeName="ThisWorkbook"/>
  <mc:AlternateContent xmlns:mc="http://schemas.openxmlformats.org/markup-compatibility/2006">
    <mc:Choice Requires="x15">
      <x15ac:absPath xmlns:x15ac="http://schemas.microsoft.com/office/spreadsheetml/2010/11/ac" url="C:\Users\ranyou\Documents\VBA Complete Files\R2 Practice\Project II\"/>
    </mc:Choice>
  </mc:AlternateContent>
  <xr:revisionPtr revIDLastSave="0" documentId="13_ncr:1_{9FC1DF45-41A6-481D-8C53-99029FDC8570}" xr6:coauthVersionLast="36" xr6:coauthVersionMax="36" xr10:uidLastSave="{00000000-0000-0000-0000-000000000000}"/>
  <bookViews>
    <workbookView xWindow="0" yWindow="0" windowWidth="38400" windowHeight="17610" xr2:uid="{00000000-000D-0000-FFFF-FFFF00000000}"/>
  </bookViews>
  <sheets>
    <sheet name="Start" sheetId="6" r:id="rId1"/>
    <sheet name="Summary" sheetId="3" r:id="rId2"/>
    <sheet name="RegionTemp" sheetId="7" r:id="rId3"/>
    <sheet name="Map" sheetId="2" r:id="rId4"/>
    <sheet name="NewData" sheetId="4" r:id="rId5"/>
    <sheet name="Instructions" sheetId="11" r:id="rId6"/>
  </sheets>
  <definedNames>
    <definedName name="_xlnm._FilterDatabase" localSheetId="1" hidden="1">Summary!$A$1:$H$1</definedName>
    <definedName name="CompTable">Table1[#All]</definedName>
    <definedName name="MRegion">Map!$G$9:$G$10</definedName>
    <definedName name="Slicer_Company_Name">#N/A</definedName>
  </definedNames>
  <calcPr calcId="191029"/>
  <pivotCaches>
    <pivotCache cacheId="84"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78" i="7" l="1"/>
  <c r="K78" i="7"/>
  <c r="J78" i="7"/>
  <c r="I78" i="7"/>
  <c r="L77" i="7"/>
  <c r="K77" i="7"/>
  <c r="J77" i="7"/>
  <c r="I77" i="7"/>
  <c r="L76" i="7"/>
  <c r="K76" i="7"/>
  <c r="J76" i="7"/>
  <c r="I76" i="7"/>
  <c r="L75" i="7"/>
  <c r="K75" i="7"/>
  <c r="J75" i="7"/>
  <c r="I75" i="7"/>
  <c r="L74" i="7"/>
  <c r="K74" i="7"/>
  <c r="J74" i="7"/>
  <c r="I74" i="7"/>
  <c r="L73" i="7"/>
  <c r="K73" i="7"/>
  <c r="J73" i="7"/>
  <c r="I73" i="7"/>
  <c r="L72" i="7"/>
  <c r="K72" i="7"/>
  <c r="J72" i="7"/>
  <c r="I72" i="7"/>
  <c r="L71" i="7"/>
  <c r="K71" i="7"/>
  <c r="J71" i="7"/>
  <c r="I71" i="7"/>
  <c r="L70" i="7"/>
  <c r="K70" i="7"/>
  <c r="J70" i="7"/>
  <c r="I70" i="7"/>
  <c r="L69" i="7"/>
  <c r="K69" i="7"/>
  <c r="J69" i="7"/>
  <c r="I69" i="7"/>
  <c r="L68" i="7"/>
  <c r="K68" i="7"/>
  <c r="J68" i="7"/>
  <c r="I68" i="7"/>
  <c r="L67" i="7"/>
  <c r="K67" i="7"/>
  <c r="J67" i="7"/>
  <c r="I67" i="7"/>
  <c r="L66" i="7"/>
  <c r="K66" i="7"/>
  <c r="J66" i="7"/>
  <c r="I66" i="7"/>
  <c r="L65" i="7"/>
  <c r="K65" i="7"/>
  <c r="J65" i="7"/>
  <c r="I65" i="7"/>
  <c r="L79" i="7" l="1"/>
  <c r="K79" i="7"/>
  <c r="J79" i="7"/>
  <c r="I79" i="7"/>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M65" i="7" s="1"/>
  <c r="L66" i="3"/>
  <c r="M66" i="7" s="1"/>
  <c r="L67" i="3"/>
  <c r="M67" i="7" s="1"/>
  <c r="L68" i="3"/>
  <c r="M68" i="7" s="1"/>
  <c r="L69" i="3"/>
  <c r="M69" i="7" s="1"/>
  <c r="L70" i="3"/>
  <c r="M70" i="7" s="1"/>
  <c r="L71" i="3"/>
  <c r="M71" i="7" s="1"/>
  <c r="L72" i="3"/>
  <c r="M72" i="7" s="1"/>
  <c r="L73" i="3"/>
  <c r="M73" i="7" s="1"/>
  <c r="L74" i="3"/>
  <c r="M74" i="7" s="1"/>
  <c r="L75" i="3"/>
  <c r="M75" i="7" s="1"/>
  <c r="L76" i="3"/>
  <c r="M76" i="7" s="1"/>
  <c r="L77" i="3"/>
  <c r="M77" i="7" s="1"/>
  <c r="L78" i="3"/>
  <c r="M78" i="7" s="1"/>
  <c r="L79" i="3"/>
  <c r="M79" i="3" s="1"/>
  <c r="L80" i="3"/>
  <c r="M80" i="3" s="1"/>
  <c r="L81" i="3"/>
  <c r="M81" i="3" s="1"/>
  <c r="L82" i="3"/>
  <c r="M82" i="3" s="1"/>
  <c r="L83" i="3"/>
  <c r="M83" i="3" s="1"/>
  <c r="L84" i="3"/>
  <c r="M84" i="3" s="1"/>
  <c r="L85" i="3"/>
  <c r="M85" i="3" s="1"/>
  <c r="L86" i="3"/>
  <c r="M86" i="3" s="1"/>
  <c r="L87" i="3"/>
  <c r="M87" i="3" s="1"/>
  <c r="L88" i="3"/>
  <c r="M88" i="3" s="1"/>
  <c r="L89" i="3"/>
  <c r="M89" i="3" s="1"/>
  <c r="L90" i="3"/>
  <c r="M90" i="3" s="1"/>
  <c r="L91" i="3"/>
  <c r="M91" i="3" s="1"/>
  <c r="L92" i="3"/>
  <c r="M92" i="3" s="1"/>
  <c r="L93" i="3"/>
  <c r="M93" i="3" s="1"/>
  <c r="L94" i="3"/>
  <c r="M94" i="3" s="1"/>
  <c r="L95" i="3"/>
  <c r="M95" i="3" s="1"/>
  <c r="L96" i="3"/>
  <c r="M96" i="3" s="1"/>
  <c r="L97" i="3"/>
  <c r="M97" i="3" s="1"/>
  <c r="L98" i="3"/>
  <c r="M98" i="3" s="1"/>
  <c r="L99" i="3"/>
  <c r="M99" i="3" s="1"/>
  <c r="L100" i="3"/>
  <c r="M100" i="3" s="1"/>
  <c r="L101" i="3"/>
  <c r="M101" i="3" s="1"/>
  <c r="L102" i="3"/>
  <c r="M102" i="3" s="1"/>
  <c r="L103" i="3"/>
  <c r="M103" i="3" s="1"/>
  <c r="L104" i="3"/>
  <c r="M104" i="3" s="1"/>
  <c r="L105" i="3"/>
  <c r="M105" i="3" s="1"/>
  <c r="L106" i="3"/>
  <c r="M106" i="3" s="1"/>
  <c r="L107" i="3"/>
  <c r="M107" i="3" s="1"/>
  <c r="L108" i="3"/>
  <c r="M108" i="3" s="1"/>
  <c r="L109" i="3"/>
  <c r="M109" i="3" s="1"/>
  <c r="L110" i="3"/>
  <c r="M110" i="3" s="1"/>
  <c r="L111" i="3"/>
  <c r="M111" i="3" s="1"/>
  <c r="L112" i="3"/>
  <c r="M112" i="3" s="1"/>
  <c r="L113" i="3"/>
  <c r="M113" i="3" s="1"/>
  <c r="L114" i="3"/>
  <c r="M114" i="3" s="1"/>
  <c r="L115" i="3"/>
  <c r="M115" i="3" s="1"/>
  <c r="L116" i="3"/>
  <c r="M116" i="3" s="1"/>
  <c r="L117" i="3"/>
  <c r="M117" i="3" s="1"/>
  <c r="L118" i="3"/>
  <c r="M118" i="3" s="1"/>
  <c r="L119" i="3"/>
  <c r="M119" i="3" s="1"/>
  <c r="L120" i="3"/>
  <c r="M120" i="3" s="1"/>
  <c r="L121" i="3"/>
  <c r="M121" i="3" s="1"/>
  <c r="L122" i="3"/>
  <c r="M122" i="3" s="1"/>
  <c r="L123" i="3"/>
  <c r="M123" i="3" s="1"/>
  <c r="L124" i="3"/>
  <c r="M124" i="3" s="1"/>
  <c r="L125" i="3"/>
  <c r="M125" i="3" s="1"/>
  <c r="L126" i="3"/>
  <c r="M126" i="3" s="1"/>
  <c r="L127" i="3"/>
  <c r="M127" i="3" s="1"/>
  <c r="L128" i="3"/>
  <c r="M128" i="3" s="1"/>
  <c r="L129" i="3"/>
  <c r="M129" i="3" s="1"/>
  <c r="L130" i="3"/>
  <c r="M130" i="3" s="1"/>
  <c r="L131" i="3"/>
  <c r="M131" i="3" s="1"/>
  <c r="L132" i="3"/>
  <c r="M132" i="3" s="1"/>
  <c r="L133" i="3"/>
  <c r="M133" i="3" s="1"/>
  <c r="L134" i="3"/>
  <c r="M134" i="3" s="1"/>
  <c r="L135" i="3"/>
  <c r="M135" i="3" s="1"/>
  <c r="L136" i="3"/>
  <c r="M136" i="3" s="1"/>
  <c r="L137" i="3"/>
  <c r="M137" i="3" s="1"/>
  <c r="L138" i="3"/>
  <c r="M138" i="3" s="1"/>
  <c r="L139" i="3"/>
  <c r="M139" i="3" s="1"/>
  <c r="L140" i="3"/>
  <c r="M140" i="3" s="1"/>
  <c r="L141" i="3"/>
  <c r="M141" i="3" s="1"/>
  <c r="L2" i="3"/>
  <c r="M73" i="3" l="1"/>
  <c r="M37" i="3"/>
  <c r="M60" i="3"/>
  <c r="M24" i="3"/>
  <c r="M71" i="3"/>
  <c r="M35" i="3"/>
  <c r="M70" i="3"/>
  <c r="M58" i="3"/>
  <c r="M46" i="3"/>
  <c r="M22" i="3"/>
  <c r="M69" i="3"/>
  <c r="M9" i="3"/>
  <c r="M68" i="3"/>
  <c r="M20" i="3"/>
  <c r="M55" i="3"/>
  <c r="M7" i="3"/>
  <c r="M76" i="3"/>
  <c r="M64" i="3"/>
  <c r="M52" i="3"/>
  <c r="M40" i="3"/>
  <c r="M28" i="3"/>
  <c r="M16" i="3"/>
  <c r="M4" i="3"/>
  <c r="M61" i="3"/>
  <c r="M25" i="3"/>
  <c r="M48" i="3"/>
  <c r="M12" i="3"/>
  <c r="M47" i="3"/>
  <c r="M11" i="3"/>
  <c r="M2" i="3"/>
  <c r="M10" i="3"/>
  <c r="M57" i="3"/>
  <c r="M45" i="3"/>
  <c r="M21" i="3"/>
  <c r="M56" i="3"/>
  <c r="M44" i="3"/>
  <c r="M67" i="3"/>
  <c r="M43" i="3"/>
  <c r="M78" i="3"/>
  <c r="M66" i="3"/>
  <c r="M54" i="3"/>
  <c r="M42" i="3"/>
  <c r="M77" i="3"/>
  <c r="M53" i="3"/>
  <c r="M29" i="3"/>
  <c r="M5" i="3"/>
  <c r="M75" i="3"/>
  <c r="M63" i="3"/>
  <c r="M51" i="3"/>
  <c r="M39" i="3"/>
  <c r="M27" i="3"/>
  <c r="M15" i="3"/>
  <c r="M3" i="3"/>
  <c r="M49" i="3"/>
  <c r="M13" i="3"/>
  <c r="M72" i="3"/>
  <c r="M36" i="3"/>
  <c r="M59" i="3"/>
  <c r="M23" i="3"/>
  <c r="M18" i="3"/>
  <c r="M65" i="3"/>
  <c r="M41" i="3"/>
  <c r="M17" i="3"/>
  <c r="M74" i="3"/>
  <c r="M62" i="3"/>
  <c r="M50" i="3"/>
  <c r="M38" i="3"/>
  <c r="M26" i="3"/>
  <c r="M14" i="3"/>
  <c r="M79" i="7"/>
  <c r="M6" i="3"/>
  <c r="M30" i="3"/>
  <c r="M34" i="3"/>
  <c r="M33" i="3"/>
  <c r="M32" i="3"/>
  <c r="M31" i="3"/>
  <c r="M19" i="3"/>
  <c r="M8" i="3"/>
  <c r="K2" i="3"/>
  <c r="J2" i="3"/>
  <c r="I2" i="3"/>
</calcChain>
</file>

<file path=xl/sharedStrings.xml><?xml version="1.0" encoding="utf-8"?>
<sst xmlns="http://schemas.openxmlformats.org/spreadsheetml/2006/main" count="918" uniqueCount="132">
  <si>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</si>
  <si>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</si>
  <si>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</si>
  <si>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</si>
  <si>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</si>
  <si>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</si>
  <si>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</si>
  <si>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</si>
  <si>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</si>
  <si>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</si>
  <si>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</si>
  <si>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</si>
  <si>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</si>
  <si>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</si>
  <si>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</si>
  <si>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</si>
  <si>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</si>
  <si>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</si>
  <si>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</si>
  <si>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</si>
  <si>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</si>
  <si>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</si>
  <si>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</si>
  <si>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</si>
  <si>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</si>
  <si>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</si>
  <si>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</si>
  <si>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</si>
  <si>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</si>
  <si>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</si>
  <si>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</si>
  <si>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</si>
  <si>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</si>
  <si>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</si>
  <si>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</si>
  <si>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</si>
  <si>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</si>
  <si>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</si>
  <si>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</si>
  <si>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</si>
  <si>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</si>
  <si>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</si>
  <si>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</si>
  <si>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</si>
  <si>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</si>
  <si>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</si>
  <si>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</si>
  <si>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</si>
  <si>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</si>
  <si>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</si>
  <si>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</si>
  <si>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</si>
  <si>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</si>
  <si>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</si>
  <si>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</si>
  <si>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</si>
  <si>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Aim of the tool</t>
  </si>
  <si>
    <t>Your Challenge</t>
  </si>
  <si>
    <t>Regions</t>
  </si>
  <si>
    <t>Werner Strauss</t>
  </si>
  <si>
    <t>Aida GmbH</t>
  </si>
  <si>
    <t>Liebher</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</si>
  <si>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</si>
  <si>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</si>
  <si>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</si>
  <si>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6. You need to split each region to it's own file. European Regional managers should not see the US data</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</si>
  <si>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</si>
  <si>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</si>
  <si>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</si>
  <si>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</si>
  <si>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</si>
  <si>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</si>
  <si>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</si>
  <si>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</si>
  <si>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</si>
  <si>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</si>
  <si>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</si>
  <si>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</si>
  <si>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</si>
  <si>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</si>
  <si>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</si>
  <si>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</si>
  <si>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</si>
  <si>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</si>
  <si>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</si>
  <si>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t>1. First import data 1-to-1 to NewData tab</t>
  </si>
  <si>
    <t>3. Copy and paste the required column from NewData in Summary tab</t>
  </si>
  <si>
    <t>2. Use Find function to find the matching header from Summary tab in NewData tab</t>
  </si>
  <si>
    <r>
      <t>Time savings:</t>
    </r>
    <r>
      <rPr>
        <sz val="11"/>
        <color rgb="FF92D050"/>
        <rFont val="Arial"/>
        <family val="2"/>
        <scheme val="minor"/>
      </rPr>
      <t xml:space="preserve"> 4 plus hours</t>
    </r>
  </si>
  <si>
    <t>All of this will cost you a lot of time if done manually (possibly around 4 hours - plus data changes are not uncommon)</t>
  </si>
  <si>
    <t>Sometimes you have to repeat the whole process because wrong data was sent;</t>
  </si>
  <si>
    <t>Internal code</t>
  </si>
  <si>
    <t>A50</t>
  </si>
  <si>
    <t/>
  </si>
  <si>
    <t>A56</t>
  </si>
  <si>
    <t>A60</t>
  </si>
  <si>
    <t>A59</t>
  </si>
  <si>
    <t>A57</t>
  </si>
  <si>
    <t>A53</t>
  </si>
  <si>
    <t>A54</t>
  </si>
  <si>
    <t>A55</t>
  </si>
  <si>
    <t>A51</t>
  </si>
  <si>
    <t>A52</t>
  </si>
  <si>
    <t>A58</t>
  </si>
  <si>
    <t>M110</t>
  </si>
  <si>
    <t>M120</t>
  </si>
  <si>
    <t>M180</t>
  </si>
  <si>
    <t>M170</t>
  </si>
  <si>
    <t>M150</t>
  </si>
  <si>
    <t>M190</t>
  </si>
  <si>
    <t>M130</t>
  </si>
  <si>
    <t>M200</t>
  </si>
  <si>
    <t>C11</t>
  </si>
  <si>
    <t>C14</t>
  </si>
  <si>
    <t>C19</t>
  </si>
  <si>
    <t>C18</t>
  </si>
  <si>
    <t>C10</t>
  </si>
  <si>
    <t>C17</t>
  </si>
  <si>
    <t>C13</t>
  </si>
  <si>
    <t>C16</t>
  </si>
  <si>
    <t>C12</t>
  </si>
  <si>
    <t>C20</t>
  </si>
  <si>
    <t>C15</t>
  </si>
  <si>
    <t>Sales in USD</t>
  </si>
  <si>
    <t>Sum of Sales in USD</t>
  </si>
  <si>
    <t>Row Labels</t>
  </si>
  <si>
    <t>Grand Total</t>
  </si>
  <si>
    <t>Sum of Sales in USD2</t>
  </si>
  <si>
    <t>(blank)</t>
  </si>
  <si>
    <t>Reports Generated</t>
  </si>
  <si>
    <t>RM_America_201810_Sales_Report</t>
  </si>
  <si>
    <t>Leadership_America_201810_Sales_Report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</si>
</sst>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43" formatCode="_(* #,##0.00_);_(* \(#,##0.00\);_(* &quot;-&quot;??_);_(@_)"/>
    <numFmt numFmtId="164" formatCode="_(* #,##0.000_);_(* \(#,##0.000\);_(* &quot;-&quot;??_);_(@_)"/>
    <numFmt numFmtId="165" formatCode="_(&quot;$&quot;* #,##0_);_(&quot;$&quot;* \(#,##0\);_(&quot;$&quot;* &quot;-&quot;??_);_(@_)"/>
  </numFmts>
  <fonts count="13"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sz val="10"/>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
      <sz val="10"/>
      <color rgb="FF000000"/>
      <name val="Arial"/>
      <family val="2"/>
    </font>
    <font>
      <b/>
      <sz val="10"/>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1" tint="0.34998626667073579"/>
        <bgColor indexed="64"/>
      </patternFill>
    </fill>
    <fill>
      <patternFill patternType="solid">
        <fgColor theme="0"/>
        <bgColor indexed="64"/>
      </patternFill>
    </fill>
    <fill>
      <patternFill patternType="solid">
        <fgColor rgb="FFFFFF00"/>
        <bgColor indexed="64"/>
      </patternFill>
    </fill>
  </fills>
  <borders count="6">
    <border>
      <left/>
      <right/>
      <top/>
      <bottom/>
      <diagonal/>
    </border>
    <border>
      <left/>
      <right/>
      <top/>
      <bottom style="thin">
        <color indexed="64"/>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3">
    <xf numFmtId="0" fontId="0" fillId="0" borderId="0"/>
    <xf numFmtId="43" fontId="7" fillId="0" borderId="0" applyFont="0" applyFill="0" applyBorder="0" applyAlignment="0" applyProtection="0"/>
    <xf numFmtId="44" fontId="7" fillId="0" borderId="0" applyFont="0" applyFill="0" applyBorder="0" applyAlignment="0" applyProtection="0"/>
  </cellStyleXfs>
  <cellXfs count="40">
    <xf numFmtId="0" fontId="0" fillId="0" borderId="0" xfId="0"/>
    <xf numFmtId="0" fontId="3" fillId="0" borderId="0" xfId="0" applyFont="1"/>
    <xf numFmtId="0" fontId="0" fillId="2" borderId="0" xfId="0" applyFill="1" applyBorder="1"/>
    <xf numFmtId="0" fontId="4" fillId="2" borderId="0" xfId="0" applyFont="1" applyFill="1" applyBorder="1"/>
    <xf numFmtId="0" fontId="0" fillId="0" borderId="1" xfId="0" applyBorder="1"/>
    <xf numFmtId="49" fontId="5" fillId="3" borderId="0" xfId="0" applyNumberFormat="1" applyFont="1" applyFill="1" applyBorder="1" applyAlignment="1">
      <alignment horizontal="left" vertical="center" wrapText="1"/>
    </xf>
    <xf numFmtId="0" fontId="4" fillId="4" borderId="2" xfId="0" applyNumberFormat="1" applyFont="1" applyFill="1" applyBorder="1" applyAlignment="1" applyProtection="1">
      <alignment horizontal="center" vertical="center" wrapText="1"/>
      <protection locked="0"/>
    </xf>
    <xf numFmtId="0" fontId="6" fillId="0" borderId="0" xfId="0" applyFont="1"/>
    <xf numFmtId="0" fontId="7" fillId="0" borderId="0" xfId="0" applyFont="1"/>
    <xf numFmtId="0" fontId="7" fillId="0" borderId="0" xfId="0" applyFont="1" applyBorder="1"/>
    <xf numFmtId="0" fontId="0" fillId="0" borderId="0" xfId="0" applyBorder="1"/>
    <xf numFmtId="0" fontId="0" fillId="0" borderId="0" xfId="0" applyNumberFormat="1" applyBorder="1"/>
    <xf numFmtId="0" fontId="0" fillId="5" borderId="0" xfId="0" applyFill="1"/>
    <xf numFmtId="0" fontId="0" fillId="6" borderId="2" xfId="0" applyFill="1" applyBorder="1"/>
    <xf numFmtId="0" fontId="8" fillId="6" borderId="3" xfId="0" quotePrefix="1" applyFont="1" applyFill="1" applyBorder="1"/>
    <xf numFmtId="0" fontId="8" fillId="6" borderId="3" xfId="0" applyFont="1" applyFill="1" applyBorder="1"/>
    <xf numFmtId="0" fontId="0" fillId="6" borderId="3" xfId="0" applyFill="1" applyBorder="1"/>
    <xf numFmtId="0" fontId="0" fillId="6" borderId="0" xfId="0" applyFill="1"/>
    <xf numFmtId="0" fontId="0" fillId="6" borderId="4" xfId="0" applyFill="1" applyBorder="1"/>
    <xf numFmtId="0" fontId="0" fillId="6" borderId="2" xfId="0" quotePrefix="1" applyFill="1" applyBorder="1"/>
    <xf numFmtId="0" fontId="0" fillId="6" borderId="3" xfId="0" quotePrefix="1" applyFill="1" applyBorder="1"/>
    <xf numFmtId="0" fontId="0" fillId="6" borderId="5" xfId="0" applyFill="1" applyBorder="1"/>
    <xf numFmtId="0" fontId="0" fillId="6" borderId="3" xfId="0" applyFill="1" applyBorder="1" applyAlignment="1">
      <alignment horizontal="left" indent="1"/>
    </xf>
    <xf numFmtId="0" fontId="0" fillId="6" borderId="3" xfId="0" applyFill="1" applyBorder="1" applyAlignment="1">
      <alignment horizontal="left" indent="2"/>
    </xf>
    <xf numFmtId="0" fontId="9" fillId="6" borderId="3" xfId="0" applyFont="1" applyFill="1" applyBorder="1"/>
    <xf numFmtId="0" fontId="2" fillId="6" borderId="3" xfId="0" applyFont="1" applyFill="1" applyBorder="1"/>
    <xf numFmtId="0" fontId="1" fillId="6" borderId="3" xfId="0" applyFont="1" applyFill="1" applyBorder="1"/>
    <xf numFmtId="0" fontId="0" fillId="0" borderId="0" xfId="0" applyNumberFormat="1" applyFont="1"/>
    <xf numFmtId="164" fontId="0" fillId="0" borderId="0" xfId="1" applyNumberFormat="1" applyFont="1"/>
    <xf numFmtId="0" fontId="0" fillId="0" borderId="0" xfId="0" applyFont="1"/>
    <xf numFmtId="0" fontId="0" fillId="7" borderId="0" xfId="0" applyFill="1"/>
    <xf numFmtId="164" fontId="0" fillId="7" borderId="0" xfId="1" applyNumberFormat="1" applyFont="1" applyFill="1" applyBorder="1"/>
    <xf numFmtId="0" fontId="0" fillId="0" borderId="0" xfId="0" pivotButton="1"/>
    <xf numFmtId="0" fontId="0" fillId="0" borderId="0" xfId="0" applyAlignment="1">
      <alignment horizontal="left"/>
    </xf>
    <xf numFmtId="10" fontId="0" fillId="0" borderId="0" xfId="0" applyNumberFormat="1"/>
    <xf numFmtId="165" fontId="0" fillId="0" borderId="0" xfId="0" applyNumberFormat="1"/>
    <xf numFmtId="0" fontId="0" fillId="0" borderId="0" xfId="0" applyAlignment="1">
      <alignment horizontal="left" indent="1"/>
    </xf>
    <xf numFmtId="0" fontId="0" fillId="0" borderId="0" xfId="0" applyAlignment="1">
      <alignment horizontal="left" indent="2"/>
    </xf>
    <xf numFmtId="165" fontId="0" fillId="0" borderId="0" xfId="2" applyNumberFormat="1" applyFont="1"/>
    <xf numFmtId="0" fontId="12" fillId="0" borderId="1" xfId="0" applyFont="1" applyBorder="1"/>
  </cellXfs>
  <cellStyles count="3">
    <cellStyle name="Comma" xfId="1" builtinId="3"/>
    <cellStyle name="Currency" xfId="2" builtinId="4"/>
    <cellStyle name="Normal" xfId="0" builtinId="0" customBuiltin="1"/>
  </cellStyles>
  <dxfs count="27">
    <dxf>
      <border outline="0">
        <bottom style="thin">
          <color theme="0" tint="-0.14996795556505021"/>
        </bottom>
      </border>
    </dxf>
    <dxf>
      <font>
        <b/>
        <i val="0"/>
        <strike val="0"/>
        <condense val="0"/>
        <extend val="0"/>
        <outline val="0"/>
        <shadow val="0"/>
        <u val="none"/>
        <vertAlign val="baseline"/>
        <sz val="11"/>
        <color theme="0"/>
        <name val="Arial"/>
        <family val="2"/>
        <scheme val="minor"/>
      </font>
      <numFmt numFmtId="0" formatCode="General"/>
      <fill>
        <patternFill patternType="solid">
          <fgColor indexed="64"/>
          <bgColor theme="3"/>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dxf>
    <dxf>
      <border outline="0">
        <bottom style="medium">
          <color indexed="64"/>
        </bottom>
      </border>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font>
        <b val="0"/>
        <i val="0"/>
        <strike val="0"/>
        <condense val="0"/>
        <extend val="0"/>
        <outline val="0"/>
        <shadow val="0"/>
        <u val="none"/>
        <vertAlign val="baseline"/>
        <sz val="10"/>
        <color theme="1"/>
        <name val="Arial"/>
        <family val="2"/>
        <scheme val="minor"/>
      </font>
      <numFmt numFmtId="164" formatCode="_(* #,##0.000_);_(* \(#,##0.000\);_(* &quot;-&quot;??_);_(@_)"/>
    </dxf>
    <dxf>
      <font>
        <b val="0"/>
        <i val="0"/>
        <strike val="0"/>
        <condense val="0"/>
        <extend val="0"/>
        <outline val="0"/>
        <shadow val="0"/>
        <u val="none"/>
        <vertAlign val="baseline"/>
        <sz val="10"/>
        <color theme="1"/>
        <name val="Arial"/>
        <family val="2"/>
        <scheme val="minor"/>
      </font>
      <numFmt numFmtId="0" formatCode="General"/>
    </dxf>
    <dxf>
      <font>
        <b val="0"/>
        <i val="0"/>
        <strike val="0"/>
        <condense val="0"/>
        <extend val="0"/>
        <outline val="0"/>
        <shadow val="0"/>
        <u val="none"/>
        <vertAlign val="baseline"/>
        <sz val="10"/>
        <color theme="1"/>
        <name val="Arial"/>
        <family val="2"/>
        <scheme val="minor"/>
      </font>
      <numFmt numFmtId="0" formatCode="General"/>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numFmt numFmtId="0" formatCode="General"/>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26"/>
      <tableStyleElement type="headerRow" dxfId="25"/>
      <tableStyleElement type="totalRow" dxfId="24"/>
      <tableStyleElement type="firstRowStripe" dxfId="23"/>
      <tableStyleElement type="firstColumnStripe" dxfId="22"/>
      <tableStyleElement type="firstSubtotalRow" dxfId="21"/>
      <tableStyleElement type="secondSubtotalRow" dxfId="20"/>
      <tableStyleElement type="firstRowSubheading" dxfId="19"/>
      <tableStyleElement type="secondRowSubheading" dxfId="18"/>
      <tableStyleElement type="pageFieldLabels" dxfId="17"/>
      <tableStyleElement type="pageFieldValues" dxfId="16"/>
    </tableStyle>
    <tableStyle name="MySlicer" pivot="0" table="0" count="10" xr9:uid="{00000000-0011-0000-FFFF-FFFF01000000}">
      <tableStyleElement type="wholeTable" dxfId="15"/>
      <tableStyleElement type="headerRow" dxfId="14"/>
    </tableStyle>
    <tableStyle name="Table Style 1" pivot="0" count="1" xr9:uid="{00000000-0011-0000-FFFF-FFFF02000000}">
      <tableStyleElement type="wholeTable" dxfId="13"/>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[Monthly_Sales_Reporting_Template_Tool_Start.xlsm]RegionTemp!PivotTable1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RegionTemp!$P$3</c:f>
              <c:strCache>
                <c:ptCount val="1"/>
                <c:pt idx="0">
                  <c:v>Sum of Sales in USD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RegionTemp!$O$4:$O$9</c:f>
              <c:strCache>
                <c:ptCount val="5"/>
                <c:pt idx="0">
                  <c:v>Aida GmbH</c:v>
                </c:pt>
                <c:pt idx="1">
                  <c:v>Erma</c:v>
                </c:pt>
                <c:pt idx="2">
                  <c:v>Dellicia</c:v>
                </c:pt>
                <c:pt idx="3">
                  <c:v>Liebher</c:v>
                </c:pt>
                <c:pt idx="4">
                  <c:v>(blank)</c:v>
                </c:pt>
              </c:strCache>
            </c:strRef>
          </c:cat>
          <c:val>
            <c:numRef>
              <c:f>RegionTemp!$P$4:$P$9</c:f>
              <c:numCache>
                <c:formatCode>_("$"* #,##0_);_("$"* \(#,##0\);_("$"* "-"??_);_(@_)</c:formatCode>
                <c:ptCount val="5"/>
                <c:pt idx="0">
                  <c:v>14931.143759999999</c:v>
                </c:pt>
                <c:pt idx="1">
                  <c:v>44800</c:v>
                </c:pt>
                <c:pt idx="2">
                  <c:v>42500</c:v>
                </c:pt>
                <c:pt idx="3">
                  <c:v>20853.307199999999</c:v>
                </c:pt>
              </c:numCache>
            </c:numRef>
          </c:val>
          <c:extLst>
            <c:ext xmlns:c16="http://schemas.microsoft.com/office/drawing/2014/chart" uri="{C3380CC4-5D6E-409C-BE32-E72D297353CC}">
              <c16:uniqueId val="{00000000-9D20-4FBA-BAFF-D96302C685E0}"/>
            </c:ext>
          </c:extLst>
        </c:ser>
        <c:ser>
          <c:idx val="1"/>
          <c:order val="1"/>
          <c:tx>
            <c:strRef>
              <c:f>RegionTemp!$Q$3</c:f>
              <c:strCache>
                <c:ptCount val="1"/>
                <c:pt idx="0">
                  <c:v>Sum of Sales in USD2</c:v>
                </c:pt>
              </c:strCache>
            </c:strRef>
          </c:tx>
          <c:spPr>
            <a:solidFill>
              <a:schemeClr val="accent2"/>
            </a:solidFill>
            <a:ln>
              <a:noFill/>
            </a:ln>
            <a:effectLst/>
          </c:spPr>
          <c:invertIfNegative val="0"/>
          <c:cat>
            <c:strRef>
              <c:f>RegionTemp!$O$4:$O$9</c:f>
              <c:strCache>
                <c:ptCount val="5"/>
                <c:pt idx="0">
                  <c:v>Aida GmbH</c:v>
                </c:pt>
                <c:pt idx="1">
                  <c:v>Erma</c:v>
                </c:pt>
                <c:pt idx="2">
                  <c:v>Dellicia</c:v>
                </c:pt>
                <c:pt idx="3">
                  <c:v>Liebher</c:v>
                </c:pt>
                <c:pt idx="4">
                  <c:v>(blank)</c:v>
                </c:pt>
              </c:strCache>
            </c:strRef>
          </c:cat>
          <c:val>
            <c:numRef>
              <c:f>RegionTemp!$Q$4:$Q$9</c:f>
              <c:numCache>
                <c:formatCode>0.00%</c:formatCode>
                <c:ptCount val="5"/>
                <c:pt idx="0">
                  <c:v>0.12130812335387776</c:v>
                </c:pt>
                <c:pt idx="1">
                  <c:v>0.36397773764745561</c:v>
                </c:pt>
                <c:pt idx="2">
                  <c:v>0.34529138058073361</c:v>
                </c:pt>
                <c:pt idx="3">
                  <c:v>0.16942275841793297</c:v>
                </c:pt>
                <c:pt idx="4">
                  <c:v>0</c:v>
                </c:pt>
              </c:numCache>
            </c:numRef>
          </c:val>
          <c:extLst>
            <c:ext xmlns:c16="http://schemas.microsoft.com/office/drawing/2014/chart" uri="{C3380CC4-5D6E-409C-BE32-E72D297353CC}">
              <c16:uniqueId val="{00000001-9D20-4FBA-BAFF-D96302C685E0}"/>
            </c:ext>
          </c:extLst>
        </c:ser>
        <c:dLbls>
          <c:showLegendKey val="0"/>
          <c:showVal val="0"/>
          <c:showCatName val="0"/>
          <c:showSerName val="0"/>
          <c:showPercent val="0"/>
          <c:showBubbleSize val="0"/>
        </c:dLbls>
        <c:gapWidth val="182"/>
        <c:axId val="952380143"/>
        <c:axId val="1156182575"/>
      </c:barChart>
      <c:catAx>
        <c:axId val="952380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182575"/>
        <c:crosses val="autoZero"/>
        <c:auto val="1"/>
        <c:lblAlgn val="ctr"/>
        <c:lblOffset val="100"/>
        <c:noMultiLvlLbl val="0"/>
      </c:catAx>
      <c:valAx>
        <c:axId val="1156182575"/>
        <c:scaling>
          <c:orientation val="minMax"/>
        </c:scaling>
        <c:delete val="1"/>
        <c:axPos val="b"/>
        <c:numFmt formatCode="_(&quot;$&quot;* #,##0_);_(&quot;$&quot;* \(#,##0\);_(&quot;$&quot;* &quot;-&quot;??_);_(@_)" sourceLinked="1"/>
        <c:majorTickMark val="none"/>
        <c:minorTickMark val="none"/>
        <c:tickLblPos val="nextTo"/>
        <c:crossAx val="952380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1" fmlaRange="Map!$G$9:$G$10" noThreeD="1"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mc:AlternateContent xmlns:mc="http://schemas.openxmlformats.org/markup-compatibility/2006">
    <mc:Choice xmlns:a14="http://schemas.microsoft.com/office/drawing/2010/main" Requires="a14">
      <xdr:twoCellAnchor>
        <xdr:from>
          <xdr:col>2</xdr:col>
          <xdr:colOff>120650</xdr:colOff>
          <xdr:row>14</xdr:row>
          <xdr:rowOff>114300</xdr:rowOff>
        </xdr:from>
        <xdr:to>
          <xdr:col>3</xdr:col>
          <xdr:colOff>101600</xdr:colOff>
          <xdr:row>17</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Import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14</xdr:row>
          <xdr:rowOff>114300</xdr:rowOff>
        </xdr:from>
        <xdr:to>
          <xdr:col>6</xdr:col>
          <xdr:colOff>82550</xdr:colOff>
          <xdr:row>17</xdr:row>
          <xdr:rowOff>31750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Move Data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819150</xdr:colOff>
          <xdr:row>15</xdr:row>
          <xdr:rowOff>12700</xdr:rowOff>
        </xdr:from>
        <xdr:to>
          <xdr:col>10</xdr:col>
          <xdr:colOff>177800</xdr:colOff>
          <xdr:row>16</xdr:row>
          <xdr:rowOff>146050</xdr:rowOff>
        </xdr:to>
        <xdr:sp macro="" textlink="">
          <xdr:nvSpPr>
            <xdr:cNvPr id="1028" name="my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14</xdr:row>
          <xdr:rowOff>152400</xdr:rowOff>
        </xdr:from>
        <xdr:to>
          <xdr:col>12</xdr:col>
          <xdr:colOff>558800</xdr:colOff>
          <xdr:row>17</xdr:row>
          <xdr:rowOff>63500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577850</xdr:colOff>
          <xdr:row>19</xdr:row>
          <xdr:rowOff>127000</xdr:rowOff>
        </xdr:from>
        <xdr:to>
          <xdr:col>6</xdr:col>
          <xdr:colOff>635000</xdr:colOff>
          <xdr:row>22</xdr:row>
          <xdr:rowOff>31750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A40ADD72-C5F9-4DD9-B938-85EF17609D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Regional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50800</xdr:colOff>
          <xdr:row>19</xdr:row>
          <xdr:rowOff>144895</xdr:rowOff>
        </xdr:from>
        <xdr:to>
          <xdr:col>10</xdr:col>
          <xdr:colOff>628650</xdr:colOff>
          <xdr:row>22</xdr:row>
          <xdr:rowOff>8659</xdr:rowOff>
        </xdr:to>
        <xdr:sp macro="" textlink="">
          <xdr:nvSpPr>
            <xdr:cNvPr id="1031" name="Button 7" hidden="1">
              <a:extLst>
                <a:ext uri="{63B3BB69-23CF-44E3-9099-C40C66FF867C}">
                  <a14:compatExt spid="_x0000_s1031"/>
                </a:ext>
                <a:ext uri="{FF2B5EF4-FFF2-40B4-BE49-F238E27FC236}">
                  <a16:creationId xmlns:a16="http://schemas.microsoft.com/office/drawing/2014/main" id="{D76B7FD4-CD78-43BA-AA40-C22B5F1AAB0F}"/>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Leadership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18</xdr:col>
      <xdr:colOff>25400</xdr:colOff>
      <xdr:row>0</xdr:row>
      <xdr:rowOff>114300</xdr:rowOff>
    </xdr:from>
    <xdr:to>
      <xdr:col>21</xdr:col>
      <xdr:colOff>0</xdr:colOff>
      <xdr:row>8</xdr:row>
      <xdr:rowOff>139700</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4914900" y="114300"/>
              <a:ext cx="18034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606424</xdr:colOff>
      <xdr:row>13</xdr:row>
      <xdr:rowOff>95250</xdr:rowOff>
    </xdr:from>
    <xdr:to>
      <xdr:col>19</xdr:col>
      <xdr:colOff>476249</xdr:colOff>
      <xdr:row>29</xdr:row>
      <xdr:rowOff>31750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ou, Ran" refreshedDate="44443.833331365742" createdVersion="6" refreshedVersion="6" minRefreshableVersion="3" recordCount="79" xr:uid="{B421483D-5D33-4211-8140-BC69B1DF694B}">
  <cacheSource type="worksheet">
    <worksheetSource ref="A1:M1048576" sheet="RegionTemp"/>
  </cacheSource>
  <cacheFields count="13">
    <cacheField name="Company ID" numFmtId="0">
      <sharedItems containsBlank="1"/>
    </cacheField>
    <cacheField name="Sales Document" numFmtId="0">
      <sharedItems containsString="0" containsBlank="1" containsNumber="1" containsInteger="1" minValue="24030" maxValue="68116"/>
    </cacheField>
    <cacheField name="Document Date" numFmtId="0">
      <sharedItems containsString="0" containsBlank="1" containsNumber="1" containsInteger="1" minValue="43375" maxValue="43394"/>
    </cacheField>
    <cacheField name="Customer code" numFmtId="0">
      <sharedItems containsString="0" containsBlank="1" containsNumber="1" containsInteger="1" minValue="8010" maxValue="8020"/>
    </cacheField>
    <cacheField name="Article code" numFmtId="0">
      <sharedItems containsString="0" containsBlank="1" containsNumber="1" containsInteger="1" minValue="101" maxValue="118"/>
    </cacheField>
    <cacheField name="Reject" numFmtId="0">
      <sharedItems containsBlank="1" containsMixedTypes="1" containsNumber="1" containsInteger="1" minValue="1" maxValue="6"/>
    </cacheField>
    <cacheField name="Quantity" numFmtId="0">
      <sharedItems containsString="0" containsBlank="1" containsNumber="1" containsInteger="1" minValue="10" maxValue="200"/>
    </cacheField>
    <cacheField name="Sales Value" numFmtId="0">
      <sharedItems containsString="0" containsBlank="1" containsNumber="1" containsInteger="1" minValue="100" maxValue="2500"/>
    </cacheField>
    <cacheField name="Company Name" numFmtId="0">
      <sharedItems containsBlank="1" count="5">
        <s v="Meta Creations"/>
        <s v="Urban Right"/>
        <s v="Lucas Basics"/>
        <m/>
        <s v="Bere Kleid" u="1"/>
      </sharedItems>
    </cacheField>
    <cacheField name="Customer Name" numFmtId="0">
      <sharedItems containsBlank="1" count="7">
        <s v="Erma"/>
        <s v="Dellicia"/>
        <s v="Liebher"/>
        <s v="Aida GmbH"/>
        <m/>
        <s v="Werner Strauss" u="1"/>
        <s v="Edson" u="1"/>
      </sharedItems>
    </cacheField>
    <cacheField name="Description" numFmtId="0">
      <sharedItems containsBlank="1" count="20">
        <s v="Men type T simple white"/>
        <s v="Men type T simple black"/>
        <s v="Men basics"/>
        <s v="Laptop bag black"/>
        <s v="Men dress shirt black"/>
        <s v="Men dress shirt grey"/>
        <s v="Men shorts grey"/>
        <s v="Men shorts black"/>
        <s v="Unisex tank top white"/>
        <s v="Women type T simple white"/>
        <s v="Women type T simple black"/>
        <s v="Women crop top black"/>
        <s v="Women basics"/>
        <s v="Laptop bag red"/>
        <s v="Smartphone case diamond"/>
        <s v="Smartphone case simple"/>
        <m/>
        <s v="Women evening dress long black" u="1"/>
        <s v="Unisex tank top black" u="1"/>
        <s v="Women evening dress Cocktail red" u="1"/>
      </sharedItems>
    </cacheField>
    <cacheField name="Region" numFmtId="0">
      <sharedItems containsBlank="1"/>
    </cacheField>
    <cacheField name="Sales in USD" numFmtId="0">
      <sharedItems containsString="0" containsBlank="1" containsNumber="1" minValue="100" maxValue="5003.2457999999997"/>
    </cacheField>
  </cacheFields>
  <extLst>
    <ext xmlns:x14="http://schemas.microsoft.com/office/spreadsheetml/2009/9/main" uri="{725AE2AE-9491-48be-B2B4-4EB974FC3084}">
      <x14:pivotCacheDefinition pivotCacheId="17421685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s v="1020US"/>
    <n v="24030"/>
    <n v="43375"/>
    <n v="8020"/>
    <n v="101"/>
    <n v="1"/>
    <n v="130"/>
    <n v="1560"/>
    <x v="0"/>
    <x v="0"/>
    <x v="0"/>
    <s v="America"/>
    <n v="1560"/>
  </r>
  <r>
    <s v="1020US"/>
    <n v="24030"/>
    <n v="43375"/>
    <n v="8020"/>
    <n v="102"/>
    <m/>
    <n v="30"/>
    <n v="360"/>
    <x v="0"/>
    <x v="0"/>
    <x v="1"/>
    <s v="America"/>
    <n v="360"/>
  </r>
  <r>
    <s v="1020US"/>
    <n v="24030"/>
    <n v="43375"/>
    <n v="8020"/>
    <n v="106"/>
    <s v=""/>
    <n v="60"/>
    <n v="300"/>
    <x v="0"/>
    <x v="0"/>
    <x v="2"/>
    <s v="America"/>
    <n v="300"/>
  </r>
  <r>
    <s v="1020US"/>
    <n v="24030"/>
    <n v="43375"/>
    <n v="8020"/>
    <n v="108"/>
    <m/>
    <n v="80"/>
    <n v="2240"/>
    <x v="0"/>
    <x v="0"/>
    <x v="3"/>
    <s v="America"/>
    <n v="2240"/>
  </r>
  <r>
    <s v="1020US"/>
    <n v="24031"/>
    <n v="43381"/>
    <n v="8020"/>
    <n v="101"/>
    <s v=""/>
    <n v="100"/>
    <n v="1200"/>
    <x v="0"/>
    <x v="0"/>
    <x v="0"/>
    <s v="America"/>
    <n v="1200"/>
  </r>
  <r>
    <s v="1020US"/>
    <n v="24031"/>
    <n v="43381"/>
    <n v="8020"/>
    <n v="108"/>
    <s v=""/>
    <n v="20"/>
    <n v="560"/>
    <x v="0"/>
    <x v="0"/>
    <x v="3"/>
    <s v="America"/>
    <n v="560"/>
  </r>
  <r>
    <s v="1020US"/>
    <n v="24031"/>
    <n v="43381"/>
    <n v="8020"/>
    <n v="113"/>
    <s v=""/>
    <n v="100"/>
    <n v="2500"/>
    <x v="0"/>
    <x v="0"/>
    <x v="4"/>
    <s v="America"/>
    <n v="2500"/>
  </r>
  <r>
    <s v="1020US"/>
    <n v="28112"/>
    <n v="43385"/>
    <n v="8020"/>
    <n v="114"/>
    <n v="1"/>
    <n v="50"/>
    <n v="1250"/>
    <x v="0"/>
    <x v="0"/>
    <x v="5"/>
    <s v="America"/>
    <n v="1250"/>
  </r>
  <r>
    <s v="1020US"/>
    <n v="28112"/>
    <n v="43385"/>
    <n v="8020"/>
    <n v="101"/>
    <s v=""/>
    <n v="40"/>
    <n v="480"/>
    <x v="0"/>
    <x v="0"/>
    <x v="0"/>
    <s v="America"/>
    <n v="480"/>
  </r>
  <r>
    <s v="1020US"/>
    <n v="28112"/>
    <n v="43385"/>
    <n v="8020"/>
    <n v="102"/>
    <m/>
    <n v="70"/>
    <n v="840"/>
    <x v="0"/>
    <x v="0"/>
    <x v="1"/>
    <s v="America"/>
    <n v="840"/>
  </r>
  <r>
    <s v="1020US"/>
    <n v="28112"/>
    <n v="43385"/>
    <n v="8020"/>
    <n v="106"/>
    <m/>
    <n v="70"/>
    <n v="350"/>
    <x v="0"/>
    <x v="0"/>
    <x v="2"/>
    <s v="America"/>
    <n v="350"/>
  </r>
  <r>
    <s v="1020US"/>
    <n v="28112"/>
    <n v="43385"/>
    <n v="8020"/>
    <n v="108"/>
    <m/>
    <n v="10"/>
    <n v="280"/>
    <x v="0"/>
    <x v="0"/>
    <x v="3"/>
    <s v="America"/>
    <n v="280"/>
  </r>
  <r>
    <s v="1020US"/>
    <n v="28112"/>
    <n v="43385"/>
    <n v="8020"/>
    <n v="117"/>
    <m/>
    <n v="80"/>
    <n v="1440"/>
    <x v="0"/>
    <x v="0"/>
    <x v="6"/>
    <s v="America"/>
    <n v="1440"/>
  </r>
  <r>
    <s v="1020US"/>
    <n v="28112"/>
    <n v="43385"/>
    <n v="8020"/>
    <n v="118"/>
    <m/>
    <n v="70"/>
    <n v="1260"/>
    <x v="0"/>
    <x v="0"/>
    <x v="7"/>
    <s v="America"/>
    <n v="1260"/>
  </r>
  <r>
    <s v="1020US"/>
    <n v="25442"/>
    <n v="43389"/>
    <n v="8010"/>
    <n v="118"/>
    <m/>
    <n v="70"/>
    <n v="1260"/>
    <x v="0"/>
    <x v="1"/>
    <x v="7"/>
    <s v="America"/>
    <n v="1260"/>
  </r>
  <r>
    <s v="1020US"/>
    <n v="25442"/>
    <n v="43389"/>
    <n v="8010"/>
    <n v="117"/>
    <n v="6"/>
    <n v="80"/>
    <n v="1440"/>
    <x v="0"/>
    <x v="1"/>
    <x v="6"/>
    <s v="America"/>
    <n v="1440"/>
  </r>
  <r>
    <s v="1020US"/>
    <n v="25442"/>
    <n v="43389"/>
    <n v="8010"/>
    <n v="118"/>
    <m/>
    <n v="70"/>
    <n v="1260"/>
    <x v="0"/>
    <x v="1"/>
    <x v="7"/>
    <s v="America"/>
    <n v="1260"/>
  </r>
  <r>
    <s v="1020US"/>
    <n v="25442"/>
    <n v="43389"/>
    <n v="8010"/>
    <n v="116"/>
    <n v="1"/>
    <n v="60"/>
    <n v="360"/>
    <x v="0"/>
    <x v="1"/>
    <x v="8"/>
    <s v="America"/>
    <n v="360"/>
  </r>
  <r>
    <s v="1020US"/>
    <n v="25442"/>
    <n v="43389"/>
    <n v="8010"/>
    <n v="106"/>
    <m/>
    <n v="20"/>
    <n v="100"/>
    <x v="0"/>
    <x v="1"/>
    <x v="2"/>
    <s v="America"/>
    <n v="100"/>
  </r>
  <r>
    <s v="1020US"/>
    <n v="25442"/>
    <n v="43389"/>
    <n v="8010"/>
    <n v="101"/>
    <m/>
    <n v="40"/>
    <n v="480"/>
    <x v="0"/>
    <x v="1"/>
    <x v="0"/>
    <s v="America"/>
    <n v="480"/>
  </r>
  <r>
    <s v="1020US"/>
    <n v="25442"/>
    <n v="43389"/>
    <n v="8010"/>
    <n v="102"/>
    <m/>
    <n v="10"/>
    <n v="120"/>
    <x v="0"/>
    <x v="1"/>
    <x v="1"/>
    <s v="America"/>
    <n v="120"/>
  </r>
  <r>
    <s v="1010US"/>
    <n v="66030"/>
    <n v="43377"/>
    <n v="8010"/>
    <n v="103"/>
    <s v=""/>
    <n v="120"/>
    <n v="1440"/>
    <x v="1"/>
    <x v="1"/>
    <x v="9"/>
    <s v="America"/>
    <n v="1440"/>
  </r>
  <r>
    <s v="1010US"/>
    <n v="66030"/>
    <n v="43377"/>
    <n v="8010"/>
    <n v="104"/>
    <m/>
    <n v="150"/>
    <n v="1800"/>
    <x v="1"/>
    <x v="1"/>
    <x v="10"/>
    <s v="America"/>
    <n v="1800"/>
  </r>
  <r>
    <s v="1010US"/>
    <n v="66032"/>
    <n v="43380"/>
    <n v="8010"/>
    <n v="103"/>
    <m/>
    <n v="170"/>
    <n v="2040"/>
    <x v="1"/>
    <x v="1"/>
    <x v="9"/>
    <s v="America"/>
    <n v="2040"/>
  </r>
  <r>
    <s v="1010US"/>
    <n v="66032"/>
    <n v="43380"/>
    <n v="8010"/>
    <n v="104"/>
    <m/>
    <n v="140"/>
    <n v="1680"/>
    <x v="1"/>
    <x v="1"/>
    <x v="10"/>
    <s v="America"/>
    <n v="1680"/>
  </r>
  <r>
    <s v="1010US"/>
    <n v="66031"/>
    <n v="43381"/>
    <n v="8020"/>
    <n v="103"/>
    <n v="1"/>
    <n v="140"/>
    <n v="1680"/>
    <x v="1"/>
    <x v="0"/>
    <x v="9"/>
    <s v="America"/>
    <n v="1680"/>
  </r>
  <r>
    <s v="1010US"/>
    <n v="66031"/>
    <n v="43381"/>
    <n v="8020"/>
    <n v="104"/>
    <m/>
    <n v="150"/>
    <n v="1800"/>
    <x v="1"/>
    <x v="0"/>
    <x v="10"/>
    <s v="America"/>
    <n v="1800"/>
  </r>
  <r>
    <s v="1010US"/>
    <n v="66031"/>
    <n v="43381"/>
    <n v="8020"/>
    <n v="105"/>
    <m/>
    <n v="100"/>
    <n v="1000"/>
    <x v="1"/>
    <x v="0"/>
    <x v="11"/>
    <s v="America"/>
    <n v="1000"/>
  </r>
  <r>
    <s v="1010US"/>
    <n v="68112"/>
    <n v="43384"/>
    <n v="8010"/>
    <n v="104"/>
    <n v="4"/>
    <n v="180"/>
    <n v="2160"/>
    <x v="1"/>
    <x v="1"/>
    <x v="10"/>
    <s v="America"/>
    <n v="2160"/>
  </r>
  <r>
    <s v="1010US"/>
    <n v="68112"/>
    <n v="43384"/>
    <n v="8010"/>
    <n v="105"/>
    <m/>
    <n v="120"/>
    <n v="1200"/>
    <x v="1"/>
    <x v="1"/>
    <x v="11"/>
    <s v="America"/>
    <n v="1200"/>
  </r>
  <r>
    <s v="1010US"/>
    <n v="68116"/>
    <n v="43384"/>
    <n v="8020"/>
    <n v="104"/>
    <m/>
    <n v="150"/>
    <n v="1800"/>
    <x v="1"/>
    <x v="0"/>
    <x v="10"/>
    <s v="America"/>
    <n v="1800"/>
  </r>
  <r>
    <s v="1010US"/>
    <n v="68116"/>
    <n v="43384"/>
    <n v="8020"/>
    <n v="105"/>
    <m/>
    <n v="190"/>
    <n v="1900"/>
    <x v="1"/>
    <x v="0"/>
    <x v="11"/>
    <s v="America"/>
    <n v="1900"/>
  </r>
  <r>
    <s v="1010US"/>
    <n v="68116"/>
    <n v="43384"/>
    <n v="8020"/>
    <n v="107"/>
    <n v="2"/>
    <n v="160"/>
    <n v="800"/>
    <x v="1"/>
    <x v="0"/>
    <x v="12"/>
    <s v="America"/>
    <n v="800"/>
  </r>
  <r>
    <s v="1010US"/>
    <n v="68116"/>
    <n v="43384"/>
    <n v="8010"/>
    <n v="104"/>
    <m/>
    <n v="160"/>
    <n v="1920"/>
    <x v="1"/>
    <x v="1"/>
    <x v="10"/>
    <s v="America"/>
    <n v="1920"/>
  </r>
  <r>
    <s v="1010US"/>
    <n v="68116"/>
    <n v="43384"/>
    <n v="8010"/>
    <n v="105"/>
    <m/>
    <n v="190"/>
    <n v="1900"/>
    <x v="1"/>
    <x v="1"/>
    <x v="11"/>
    <s v="America"/>
    <n v="1900"/>
  </r>
  <r>
    <s v="1010US"/>
    <n v="65662"/>
    <n v="43388"/>
    <n v="8020"/>
    <n v="103"/>
    <m/>
    <n v="120"/>
    <n v="1440"/>
    <x v="1"/>
    <x v="0"/>
    <x v="9"/>
    <s v="America"/>
    <n v="1440"/>
  </r>
  <r>
    <s v="1010US"/>
    <n v="65662"/>
    <n v="43388"/>
    <n v="8020"/>
    <n v="104"/>
    <m/>
    <n v="110"/>
    <n v="1320"/>
    <x v="1"/>
    <x v="0"/>
    <x v="10"/>
    <s v="America"/>
    <n v="1320"/>
  </r>
  <r>
    <s v="1010US"/>
    <n v="65666"/>
    <n v="43388"/>
    <n v="8010"/>
    <n v="103"/>
    <m/>
    <n v="120"/>
    <n v="1440"/>
    <x v="1"/>
    <x v="1"/>
    <x v="9"/>
    <s v="America"/>
    <n v="1440"/>
  </r>
  <r>
    <s v="1010US"/>
    <n v="65666"/>
    <n v="43388"/>
    <n v="8010"/>
    <n v="104"/>
    <m/>
    <n v="140"/>
    <n v="1680"/>
    <x v="1"/>
    <x v="1"/>
    <x v="10"/>
    <s v="America"/>
    <n v="1680"/>
  </r>
  <r>
    <s v="1010US"/>
    <n v="65666"/>
    <n v="43388"/>
    <n v="8010"/>
    <n v="105"/>
    <m/>
    <n v="160"/>
    <n v="1600"/>
    <x v="1"/>
    <x v="1"/>
    <x v="11"/>
    <s v="America"/>
    <n v="1600"/>
  </r>
  <r>
    <s v="1010US"/>
    <n v="65666"/>
    <n v="43388"/>
    <n v="8020"/>
    <n v="107"/>
    <m/>
    <n v="120"/>
    <n v="600"/>
    <x v="1"/>
    <x v="0"/>
    <x v="12"/>
    <s v="America"/>
    <n v="600"/>
  </r>
  <r>
    <s v="1010US"/>
    <n v="65666"/>
    <n v="43388"/>
    <n v="8020"/>
    <n v="103"/>
    <m/>
    <n v="200"/>
    <n v="2400"/>
    <x v="1"/>
    <x v="0"/>
    <x v="9"/>
    <s v="America"/>
    <n v="2400"/>
  </r>
  <r>
    <s v="1010US"/>
    <n v="66015"/>
    <n v="43383"/>
    <n v="8010"/>
    <n v="103"/>
    <m/>
    <n v="140"/>
    <n v="1680"/>
    <x v="1"/>
    <x v="1"/>
    <x v="9"/>
    <s v="America"/>
    <n v="1680"/>
  </r>
  <r>
    <s v="1010US"/>
    <n v="66015"/>
    <n v="43383"/>
    <n v="8010"/>
    <n v="104"/>
    <m/>
    <n v="140"/>
    <n v="1680"/>
    <x v="1"/>
    <x v="1"/>
    <x v="10"/>
    <s v="America"/>
    <n v="1680"/>
  </r>
  <r>
    <s v="1010US"/>
    <n v="66017"/>
    <n v="43386"/>
    <n v="8010"/>
    <n v="103"/>
    <m/>
    <n v="140"/>
    <n v="1680"/>
    <x v="1"/>
    <x v="1"/>
    <x v="9"/>
    <s v="America"/>
    <n v="1680"/>
  </r>
  <r>
    <s v="1010US"/>
    <n v="66017"/>
    <n v="43386"/>
    <n v="8010"/>
    <n v="104"/>
    <m/>
    <n v="140"/>
    <n v="1680"/>
    <x v="1"/>
    <x v="1"/>
    <x v="10"/>
    <s v="America"/>
    <n v="1680"/>
  </r>
  <r>
    <s v="1010US"/>
    <n v="66016"/>
    <n v="43387"/>
    <n v="8020"/>
    <n v="103"/>
    <m/>
    <n v="120"/>
    <n v="1440"/>
    <x v="1"/>
    <x v="0"/>
    <x v="9"/>
    <s v="America"/>
    <n v="1440"/>
  </r>
  <r>
    <s v="1010US"/>
    <n v="66016"/>
    <n v="43387"/>
    <n v="8020"/>
    <n v="104"/>
    <m/>
    <n v="130"/>
    <n v="1560"/>
    <x v="1"/>
    <x v="0"/>
    <x v="10"/>
    <s v="America"/>
    <n v="1560"/>
  </r>
  <r>
    <s v="1010US"/>
    <n v="66016"/>
    <n v="43387"/>
    <n v="8020"/>
    <n v="105"/>
    <m/>
    <n v="120"/>
    <n v="1200"/>
    <x v="1"/>
    <x v="0"/>
    <x v="11"/>
    <s v="America"/>
    <n v="1200"/>
  </r>
  <r>
    <s v="1010US"/>
    <n v="68097"/>
    <n v="43390"/>
    <n v="8010"/>
    <n v="104"/>
    <m/>
    <n v="140"/>
    <n v="1680"/>
    <x v="1"/>
    <x v="1"/>
    <x v="10"/>
    <s v="America"/>
    <n v="1680"/>
  </r>
  <r>
    <s v="1010US"/>
    <n v="68097"/>
    <n v="43390"/>
    <n v="8010"/>
    <n v="105"/>
    <m/>
    <n v="130"/>
    <n v="1300"/>
    <x v="1"/>
    <x v="1"/>
    <x v="11"/>
    <s v="America"/>
    <n v="1300"/>
  </r>
  <r>
    <s v="1010US"/>
    <n v="68099"/>
    <n v="43390"/>
    <n v="8020"/>
    <n v="104"/>
    <m/>
    <n v="120"/>
    <n v="1440"/>
    <x v="1"/>
    <x v="0"/>
    <x v="10"/>
    <s v="America"/>
    <n v="1440"/>
  </r>
  <r>
    <s v="1010US"/>
    <n v="68099"/>
    <n v="43390"/>
    <n v="8020"/>
    <n v="105"/>
    <n v="2"/>
    <n v="140"/>
    <n v="1400"/>
    <x v="1"/>
    <x v="0"/>
    <x v="11"/>
    <s v="America"/>
    <n v="1400"/>
  </r>
  <r>
    <s v="1010US"/>
    <n v="68099"/>
    <n v="43390"/>
    <n v="8020"/>
    <n v="107"/>
    <m/>
    <n v="170"/>
    <n v="850"/>
    <x v="1"/>
    <x v="0"/>
    <x v="12"/>
    <s v="America"/>
    <n v="850"/>
  </r>
  <r>
    <s v="1010US"/>
    <n v="68101"/>
    <n v="43390"/>
    <n v="8010"/>
    <n v="104"/>
    <m/>
    <n v="190"/>
    <n v="2280"/>
    <x v="1"/>
    <x v="1"/>
    <x v="10"/>
    <s v="America"/>
    <n v="2280"/>
  </r>
  <r>
    <s v="1010US"/>
    <n v="68101"/>
    <n v="43390"/>
    <n v="8010"/>
    <n v="105"/>
    <m/>
    <n v="140"/>
    <n v="1400"/>
    <x v="1"/>
    <x v="1"/>
    <x v="11"/>
    <s v="America"/>
    <n v="1400"/>
  </r>
  <r>
    <s v="1010US"/>
    <n v="65627"/>
    <n v="43394"/>
    <n v="8020"/>
    <n v="103"/>
    <m/>
    <n v="140"/>
    <n v="1680"/>
    <x v="1"/>
    <x v="0"/>
    <x v="9"/>
    <s v="America"/>
    <n v="1680"/>
  </r>
  <r>
    <s v="1010US"/>
    <n v="65627"/>
    <n v="43394"/>
    <n v="8020"/>
    <n v="104"/>
    <n v="3"/>
    <n v="160"/>
    <n v="1920"/>
    <x v="1"/>
    <x v="0"/>
    <x v="10"/>
    <s v="America"/>
    <n v="1920"/>
  </r>
  <r>
    <s v="1010US"/>
    <n v="65629"/>
    <n v="43394"/>
    <n v="8010"/>
    <n v="103"/>
    <m/>
    <n v="190"/>
    <n v="2280"/>
    <x v="1"/>
    <x v="1"/>
    <x v="9"/>
    <s v="America"/>
    <n v="2280"/>
  </r>
  <r>
    <s v="1010US"/>
    <n v="65629"/>
    <n v="43394"/>
    <n v="8010"/>
    <n v="104"/>
    <m/>
    <n v="130"/>
    <n v="1560"/>
    <x v="1"/>
    <x v="1"/>
    <x v="10"/>
    <s v="America"/>
    <n v="1560"/>
  </r>
  <r>
    <s v="1010US"/>
    <n v="65629"/>
    <n v="43394"/>
    <n v="8010"/>
    <n v="105"/>
    <m/>
    <n v="140"/>
    <n v="1400"/>
    <x v="1"/>
    <x v="1"/>
    <x v="11"/>
    <s v="America"/>
    <n v="1400"/>
  </r>
  <r>
    <s v="1010US"/>
    <n v="65631"/>
    <n v="43394"/>
    <n v="8020"/>
    <n v="107"/>
    <m/>
    <n v="190"/>
    <n v="950"/>
    <x v="1"/>
    <x v="0"/>
    <x v="12"/>
    <s v="America"/>
    <n v="950"/>
  </r>
  <r>
    <s v="1010US"/>
    <n v="65631"/>
    <n v="43394"/>
    <n v="8020"/>
    <n v="103"/>
    <m/>
    <n v="120"/>
    <n v="1440"/>
    <x v="1"/>
    <x v="0"/>
    <x v="9"/>
    <s v="America"/>
    <n v="1440"/>
  </r>
  <r>
    <m/>
    <m/>
    <m/>
    <m/>
    <m/>
    <m/>
    <m/>
    <m/>
    <x v="2"/>
    <x v="2"/>
    <x v="13"/>
    <s v="Europe"/>
    <n v="2001.2983200000001"/>
  </r>
  <r>
    <m/>
    <m/>
    <m/>
    <m/>
    <m/>
    <m/>
    <m/>
    <m/>
    <x v="2"/>
    <x v="2"/>
    <x v="14"/>
    <s v="Europe"/>
    <n v="5003.2457999999997"/>
  </r>
  <r>
    <m/>
    <m/>
    <m/>
    <m/>
    <m/>
    <m/>
    <m/>
    <m/>
    <x v="2"/>
    <x v="3"/>
    <x v="13"/>
    <s v="Europe"/>
    <n v="2001.2983200000001"/>
  </r>
  <r>
    <m/>
    <m/>
    <m/>
    <m/>
    <m/>
    <m/>
    <m/>
    <m/>
    <x v="2"/>
    <x v="3"/>
    <x v="14"/>
    <s v="Europe"/>
    <n v="4288.4964"/>
  </r>
  <r>
    <m/>
    <m/>
    <m/>
    <m/>
    <m/>
    <m/>
    <m/>
    <m/>
    <x v="2"/>
    <x v="3"/>
    <x v="15"/>
    <s v="Europe"/>
    <n v="1429.4988000000001"/>
  </r>
  <r>
    <m/>
    <m/>
    <m/>
    <m/>
    <m/>
    <m/>
    <m/>
    <m/>
    <x v="2"/>
    <x v="2"/>
    <x v="13"/>
    <s v="Europe"/>
    <n v="2001.2983200000001"/>
  </r>
  <r>
    <m/>
    <m/>
    <m/>
    <m/>
    <m/>
    <m/>
    <m/>
    <m/>
    <x v="2"/>
    <x v="2"/>
    <x v="14"/>
    <s v="Europe"/>
    <n v="3573.7469999999998"/>
  </r>
  <r>
    <m/>
    <m/>
    <m/>
    <m/>
    <m/>
    <m/>
    <m/>
    <m/>
    <x v="2"/>
    <x v="3"/>
    <x v="3"/>
    <s v="Europe"/>
    <n v="2167.9795199999999"/>
  </r>
  <r>
    <m/>
    <m/>
    <m/>
    <m/>
    <m/>
    <m/>
    <m/>
    <m/>
    <x v="2"/>
    <x v="3"/>
    <x v="13"/>
    <s v="Europe"/>
    <n v="1858.2681600000001"/>
  </r>
  <r>
    <m/>
    <m/>
    <m/>
    <m/>
    <m/>
    <m/>
    <m/>
    <m/>
    <x v="2"/>
    <x v="2"/>
    <x v="3"/>
    <s v="Europe"/>
    <n v="2477.6908800000001"/>
  </r>
  <r>
    <m/>
    <m/>
    <m/>
    <m/>
    <m/>
    <m/>
    <m/>
    <m/>
    <x v="2"/>
    <x v="2"/>
    <x v="13"/>
    <s v="Europe"/>
    <n v="2477.6908800000001"/>
  </r>
  <r>
    <m/>
    <m/>
    <m/>
    <m/>
    <m/>
    <m/>
    <m/>
    <m/>
    <x v="2"/>
    <x v="2"/>
    <x v="14"/>
    <s v="Europe"/>
    <n v="3318.3359999999998"/>
  </r>
  <r>
    <m/>
    <m/>
    <m/>
    <m/>
    <m/>
    <m/>
    <m/>
    <m/>
    <x v="2"/>
    <x v="3"/>
    <x v="15"/>
    <s v="Europe"/>
    <n v="1327.3344"/>
  </r>
  <r>
    <m/>
    <m/>
    <m/>
    <m/>
    <m/>
    <m/>
    <m/>
    <m/>
    <x v="2"/>
    <x v="3"/>
    <x v="3"/>
    <s v="Europe"/>
    <n v="1858.2681600000001"/>
  </r>
  <r>
    <m/>
    <m/>
    <m/>
    <m/>
    <m/>
    <m/>
    <m/>
    <m/>
    <x v="0"/>
    <x v="0"/>
    <x v="0"/>
    <s v="America"/>
    <n v="1560"/>
  </r>
  <r>
    <m/>
    <m/>
    <m/>
    <m/>
    <m/>
    <m/>
    <m/>
    <m/>
    <x v="3"/>
    <x v="4"/>
    <x v="1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DAA0CC-1CC0-4595-9B68-D69E77D9E612}" name="PivotTable2"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W1:X42" firstHeaderRow="1" firstDataRow="1" firstDataCol="1"/>
  <pivotFields count="13">
    <pivotField showAll="0"/>
    <pivotField showAll="0"/>
    <pivotField showAll="0"/>
    <pivotField showAll="0"/>
    <pivotField showAll="0"/>
    <pivotField showAll="0"/>
    <pivotField showAll="0"/>
    <pivotField showAll="0"/>
    <pivotField axis="axisRow" showAll="0">
      <items count="6">
        <item m="1" x="4"/>
        <item x="3"/>
        <item x="0"/>
        <item x="1"/>
        <item x="2"/>
        <item t="default"/>
      </items>
    </pivotField>
    <pivotField axis="axisRow" showAll="0">
      <items count="8">
        <item x="3"/>
        <item m="1" x="6"/>
        <item m="1" x="5"/>
        <item x="4"/>
        <item x="0"/>
        <item x="1"/>
        <item x="2"/>
        <item t="default"/>
      </items>
    </pivotField>
    <pivotField axis="axisRow" showAll="0">
      <items count="21">
        <item x="3"/>
        <item x="13"/>
        <item x="14"/>
        <item x="15"/>
        <item m="1" x="18"/>
        <item x="8"/>
        <item x="12"/>
        <item x="11"/>
        <item m="1" x="19"/>
        <item m="1" x="17"/>
        <item x="10"/>
        <item x="9"/>
        <item x="16"/>
        <item x="0"/>
        <item x="1"/>
        <item x="2"/>
        <item x="4"/>
        <item x="5"/>
        <item x="6"/>
        <item x="7"/>
        <item t="default"/>
      </items>
    </pivotField>
    <pivotField showAll="0"/>
    <pivotField dataField="1" showAll="0"/>
  </pivotFields>
  <rowFields count="3">
    <field x="8"/>
    <field x="9"/>
    <field x="10"/>
  </rowFields>
  <rowItems count="41">
    <i>
      <x v="1"/>
    </i>
    <i r="1">
      <x v="3"/>
    </i>
    <i r="2">
      <x v="12"/>
    </i>
    <i>
      <x v="2"/>
    </i>
    <i r="1">
      <x v="4"/>
    </i>
    <i r="2">
      <x/>
    </i>
    <i r="2">
      <x v="13"/>
    </i>
    <i r="2">
      <x v="14"/>
    </i>
    <i r="2">
      <x v="15"/>
    </i>
    <i r="2">
      <x v="16"/>
    </i>
    <i r="2">
      <x v="17"/>
    </i>
    <i r="2">
      <x v="18"/>
    </i>
    <i r="2">
      <x v="19"/>
    </i>
    <i r="1">
      <x v="5"/>
    </i>
    <i r="2">
      <x v="5"/>
    </i>
    <i r="2">
      <x v="13"/>
    </i>
    <i r="2">
      <x v="14"/>
    </i>
    <i r="2">
      <x v="15"/>
    </i>
    <i r="2">
      <x v="18"/>
    </i>
    <i r="2">
      <x v="19"/>
    </i>
    <i>
      <x v="3"/>
    </i>
    <i r="1">
      <x v="4"/>
    </i>
    <i r="2">
      <x v="6"/>
    </i>
    <i r="2">
      <x v="7"/>
    </i>
    <i r="2">
      <x v="10"/>
    </i>
    <i r="2">
      <x v="11"/>
    </i>
    <i r="1">
      <x v="5"/>
    </i>
    <i r="2">
      <x v="7"/>
    </i>
    <i r="2">
      <x v="10"/>
    </i>
    <i r="2">
      <x v="11"/>
    </i>
    <i>
      <x v="4"/>
    </i>
    <i r="1">
      <x/>
    </i>
    <i r="2">
      <x/>
    </i>
    <i r="2">
      <x v="1"/>
    </i>
    <i r="2">
      <x v="2"/>
    </i>
    <i r="2">
      <x v="3"/>
    </i>
    <i r="1">
      <x v="6"/>
    </i>
    <i r="2">
      <x/>
    </i>
    <i r="2">
      <x v="1"/>
    </i>
    <i r="2">
      <x v="2"/>
    </i>
    <i t="grand">
      <x/>
    </i>
  </rowItems>
  <colItems count="1">
    <i/>
  </colItems>
  <dataFields count="1">
    <dataField name="Sum of Sales in USD" fld="12" baseField="0" baseItem="0" numFmtId="165"/>
  </dataFields>
  <formats count="2">
    <format dxfId="5">
      <pivotArea outline="0" collapsedLevelsAreSubtotals="1" fieldPosition="0"/>
    </format>
    <format dxfId="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B21441-EB58-4414-8F89-2A87B6C3A40B}" name="PivotTable1"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O3:Q9" firstHeaderRow="0" firstDataRow="1" firstDataCol="1"/>
  <pivotFields count="13">
    <pivotField showAll="0"/>
    <pivotField showAll="0"/>
    <pivotField showAll="0"/>
    <pivotField showAll="0"/>
    <pivotField showAll="0"/>
    <pivotField showAll="0"/>
    <pivotField showAll="0"/>
    <pivotField showAll="0"/>
    <pivotField showAll="0">
      <items count="6">
        <item m="1" x="4"/>
        <item x="2"/>
        <item x="0"/>
        <item x="1"/>
        <item x="3"/>
        <item t="default"/>
      </items>
    </pivotField>
    <pivotField axis="axisRow" showAll="0">
      <items count="8">
        <item x="3"/>
        <item m="1" x="6"/>
        <item m="1" x="5"/>
        <item x="0"/>
        <item x="1"/>
        <item x="2"/>
        <item x="4"/>
        <item t="default"/>
      </items>
    </pivotField>
    <pivotField showAll="0"/>
    <pivotField showAll="0"/>
    <pivotField dataField="1" numFmtId="164" showAll="0"/>
  </pivotFields>
  <rowFields count="1">
    <field x="9"/>
  </rowFields>
  <rowItems count="6">
    <i>
      <x/>
    </i>
    <i>
      <x v="3"/>
    </i>
    <i>
      <x v="4"/>
    </i>
    <i>
      <x v="5"/>
    </i>
    <i>
      <x v="6"/>
    </i>
    <i t="grand">
      <x/>
    </i>
  </rowItems>
  <colFields count="1">
    <field x="-2"/>
  </colFields>
  <colItems count="2">
    <i>
      <x/>
    </i>
    <i i="1">
      <x v="1"/>
    </i>
  </colItems>
  <dataFields count="2">
    <dataField name="Sum of Sales in USD" fld="12" baseField="0" baseItem="0" numFmtId="165"/>
    <dataField name="Sum of Sales in USD2" fld="12" showDataAs="percentOfTotal" baseField="9" baseItem="0" numFmtId="10"/>
  </dataFields>
  <formats count="2">
    <format dxfId="7">
      <pivotArea outline="0" collapsedLevelsAreSubtotals="1" fieldPosition="0">
        <references count="1">
          <reference field="4294967294" count="1" selected="0">
            <x v="0"/>
          </reference>
        </references>
      </pivotArea>
    </format>
    <format dxfId="6">
      <pivotArea dataOnly="0" labelOnly="1" outline="0" fieldPosition="0">
        <references count="1">
          <reference field="4294967294" count="1">
            <x v="0"/>
          </reference>
        </references>
      </pivotArea>
    </format>
  </formats>
  <chartFormats count="2">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199515D-C464-4DDB-AE04-88B39B6D558D}" sourceName="Company Name">
  <pivotTables>
    <pivotTable tabId="7" name="PivotTable1"/>
  </pivotTables>
  <data>
    <tabular pivotCacheId="1742168502">
      <items count="5">
        <i x="2" s="1"/>
        <i x="0" s="1"/>
        <i x="1" s="1"/>
        <i x="4"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FC5FC351-5FDE-4DF5-AFFB-BB37683BC803}" cache="Slicer_Company_Name" caption="Company Name" rowHeight="22013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C1CF39-2066-44D4-A584-80A873C43849}" name="Table1" displayName="Table1" ref="A1:M141" totalsRowShown="0">
  <autoFilter ref="A1:M141" xr:uid="{3917DFCB-5F65-4823-986D-549B14934CCC}">
    <filterColumn colId="11">
      <filters>
        <filter val="America"/>
      </filters>
    </filterColumn>
  </autoFilter>
  <tableColumns count="13">
    <tableColumn id="1" xr3:uid="{617FBD40-B054-49F1-AFDB-A2C47311D35C}" name="Company ID"/>
    <tableColumn id="2" xr3:uid="{016C9726-3838-4474-BA67-FDB988804D30}" name="Sales Document"/>
    <tableColumn id="3" xr3:uid="{A1D2E156-7521-4CFE-88E8-1D5C5343C553}" name="Document Date"/>
    <tableColumn id="4" xr3:uid="{7988C52C-4EAE-4BD7-BEFF-48769FDCD0BE}" name="Customer code"/>
    <tableColumn id="5" xr3:uid="{B7CC9DCB-D6D2-4D6B-810A-C340B9914639}" name="Article code"/>
    <tableColumn id="6" xr3:uid="{90C33AF1-5AAB-458D-A083-C36FEFF4F232}" name="Reject"/>
    <tableColumn id="7" xr3:uid="{7B4E6BA7-363A-4EA0-84CC-AA2037431E53}" name="Quantity"/>
    <tableColumn id="8" xr3:uid="{256C3666-E095-4738-A907-D5B2EABB2B35}" name="Sales Value"/>
    <tableColumn id="9" xr3:uid="{313417A3-A214-472B-B2E7-466017F25729}" name="Company Name" dataDxfId="12">
      <calculatedColumnFormula>VLOOKUP(Table1[[#This Row],[Company ID]],MCompany[#All],2,FALSE)</calculatedColumnFormula>
    </tableColumn>
    <tableColumn id="10" xr3:uid="{04317414-0C6A-4C35-BD2F-FEE37FF11137}" name="Customer Name" dataDxfId="11">
      <calculatedColumnFormula>VLOOKUP(Table1[[#This Row],[Customer code]],MCustomer[#All],2,FALSE)</calculatedColumnFormula>
    </tableColumn>
    <tableColumn id="11" xr3:uid="{70EF58AA-0EF7-4FCE-AB08-7D96AB933080}" name="Description" dataDxfId="10">
      <calculatedColumnFormula>VLOOKUP(Table1[[#This Row],[Article code]],MArticle[#All],2,FALSE)</calculatedColumnFormula>
    </tableColumn>
    <tableColumn id="12" xr3:uid="{8A373367-0B59-4AB4-BDD7-A7E9C2AF60D7}" name="Region" dataDxfId="9">
      <calculatedColumnFormula>VLOOKUP(Table1[[#This Row],[Company ID]],MCompany[#All],4,FALSE)</calculatedColumnFormula>
    </tableColumn>
    <tableColumn id="13" xr3:uid="{8EDD6322-7824-42E9-9F77-C73894C0A0A7}" name="Sales in USD" dataDxfId="8" dataCellStyle="Comma">
      <calculatedColumnFormula>IF(Table1[[#This Row],[Region]]="Europe",VLOOKUP(MONTH(Table1[[#This Row],[Sales Document]]),MExchange[#All],2,FALSE),1)*Table1[[#This Row],[Sales Value]]</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3">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2"/>
    <tableColumn id="2" xr3:uid="{00000000-0010-0000-02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FABA8C-95FB-481B-8653-AAB96BAB8C68}" name="Table6" displayName="Table6" ref="G8:G10" totalsRowShown="0" headerRowDxfId="1" headerRowBorderDxfId="0">
  <autoFilter ref="G8:G10" xr:uid="{5EA7627F-D0CB-4D2E-B3D0-4038E047D4FE}"/>
  <tableColumns count="1">
    <tableColumn id="1" xr3:uid="{9ABDD04C-D9CB-4D4F-B6A5-59DF39A2D921}" name="Regions"/>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dimension ref="A1:Q38"/>
  <sheetViews>
    <sheetView showGridLines="0" tabSelected="1" topLeftCell="A8" zoomScale="110" zoomScaleNormal="110" workbookViewId="0">
      <selection activeCell="F27" sqref="F27"/>
    </sheetView>
  </sheetViews>
  <sheetFormatPr defaultColWidth="0" defaultRowHeight="12.5" zeroHeight="1" x14ac:dyDescent="0.25"/>
  <cols>
    <col min="1" max="1" width="4" customWidth="1"/>
    <col min="2" max="2" width="9.08984375" customWidth="1"/>
    <col min="3" max="3" width="19.81640625" customWidth="1"/>
    <col min="4" max="4" width="9.08984375" customWidth="1"/>
    <col min="5" max="5" width="5.81640625" customWidth="1"/>
    <col min="6" max="6" width="9.08984375" customWidth="1"/>
    <col min="7" max="7" width="12.81640625" customWidth="1"/>
    <col min="8" max="8" width="4.6328125" customWidth="1"/>
    <col min="9" max="17" width="9.08984375" customWidth="1"/>
    <col min="18" max="16384" width="9.08984375" hidden="1"/>
  </cols>
  <sheetData>
    <row r="1" spans="3:8" ht="28.9" customHeight="1" x14ac:dyDescent="0.25"/>
    <row r="2" spans="3:8" ht="11.65" customHeight="1" x14ac:dyDescent="0.25"/>
    <row r="3" spans="3:8" x14ac:dyDescent="0.25"/>
    <row r="4" spans="3:8" x14ac:dyDescent="0.25"/>
    <row r="5" spans="3:8" x14ac:dyDescent="0.25"/>
    <row r="6" spans="3:8" x14ac:dyDescent="0.25"/>
    <row r="7" spans="3:8" x14ac:dyDescent="0.25"/>
    <row r="8" spans="3:8" x14ac:dyDescent="0.25"/>
    <row r="9" spans="3:8" x14ac:dyDescent="0.25"/>
    <row r="10" spans="3:8" x14ac:dyDescent="0.25"/>
    <row r="11" spans="3:8" x14ac:dyDescent="0.25">
      <c r="C11" t="s">
        <v>85</v>
      </c>
    </row>
    <row r="12" spans="3:8" ht="13" x14ac:dyDescent="0.3">
      <c r="C12" t="s">
        <v>87</v>
      </c>
      <c r="H12" s="7"/>
    </row>
    <row r="13" spans="3:8" ht="13" x14ac:dyDescent="0.3">
      <c r="C13" t="s">
        <v>86</v>
      </c>
      <c r="H13" s="7"/>
    </row>
    <row r="14" spans="3:8" x14ac:dyDescent="0.25"/>
    <row r="15" spans="3:8" x14ac:dyDescent="0.25"/>
    <row r="16" spans="3:8" x14ac:dyDescent="0.25"/>
    <row r="17" spans="2:3" x14ac:dyDescent="0.25"/>
    <row r="18" spans="2:3" x14ac:dyDescent="0.25"/>
    <row r="19" spans="2:3" x14ac:dyDescent="0.25"/>
    <row r="20" spans="2:3" x14ac:dyDescent="0.25"/>
    <row r="21" spans="2:3" x14ac:dyDescent="0.25"/>
    <row r="22" spans="2:3" x14ac:dyDescent="0.25"/>
    <row r="23" spans="2:3" x14ac:dyDescent="0.25"/>
    <row r="24" spans="2:3" ht="13" x14ac:dyDescent="0.3">
      <c r="B24" s="39" t="s">
        <v>129</v>
      </c>
      <c r="C24" s="4"/>
    </row>
    <row r="25" spans="2:3" x14ac:dyDescent="0.25">
      <c r="B25" t="s">
        <v>130</v>
      </c>
    </row>
    <row r="26" spans="2:3" x14ac:dyDescent="0.25">
      <c r="B26" t="s">
        <v>131</v>
      </c>
    </row>
    <row r="27" spans="2:3" x14ac:dyDescent="0.25">
      <c r="B27" t="s">
        <v>130</v>
      </c>
    </row>
    <row r="28" spans="2:3" x14ac:dyDescent="0.25">
      <c r="B28" t="s">
        <v>131</v>
      </c>
    </row>
    <row r="29" spans="2:3" x14ac:dyDescent="0.25"/>
    <row r="30" spans="2:3" x14ac:dyDescent="0.25"/>
    <row r="31" spans="2:3" x14ac:dyDescent="0.25"/>
    <row r="32" spans="2:3" x14ac:dyDescent="0.25"/>
    <row r="33" spans="1:2" x14ac:dyDescent="0.25"/>
    <row r="34" spans="1:2" x14ac:dyDescent="0.25"/>
    <row r="35" spans="1:2" x14ac:dyDescent="0.25"/>
    <row r="36" spans="1:2" x14ac:dyDescent="0.25"/>
    <row r="37" spans="1:2" x14ac:dyDescent="0.25"/>
    <row r="38" spans="1:2" hidden="1" x14ac:dyDescent="0.25">
      <c r="A38" t="s">
        <v>131</v>
      </c>
      <c r="B38" t="s">
        <v>130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opAllFilesInAFolder">
                <anchor moveWithCells="1" sizeWithCells="1">
                  <from>
                    <xdr:col>2</xdr:col>
                    <xdr:colOff>120650</xdr:colOff>
                    <xdr:row>14</xdr:row>
                    <xdr:rowOff>114300</xdr:rowOff>
                  </from>
                  <to>
                    <xdr:col>3</xdr:col>
                    <xdr:colOff>101600</xdr:colOff>
                    <xdr:row>17</xdr:row>
                    <xdr:rowOff>38100</xdr:rowOff>
                  </to>
                </anchor>
              </controlPr>
            </control>
          </mc:Choice>
        </mc:AlternateContent>
        <mc:AlternateContent xmlns:mc="http://schemas.openxmlformats.org/markup-compatibility/2006">
          <mc:Choice Requires="x14">
            <control shapeId="1026" r:id="rId5" name="Button 2">
              <controlPr defaultSize="0" print="0" autoFill="0" autoPict="0" macro="[0]!Move_Data">
                <anchor moveWithCells="1" sizeWithCells="1">
                  <from>
                    <xdr:col>3</xdr:col>
                    <xdr:colOff>514350</xdr:colOff>
                    <xdr:row>14</xdr:row>
                    <xdr:rowOff>114300</xdr:rowOff>
                  </from>
                  <to>
                    <xdr:col>6</xdr:col>
                    <xdr:colOff>82550</xdr:colOff>
                    <xdr:row>17</xdr:row>
                    <xdr:rowOff>31750</xdr:rowOff>
                  </to>
                </anchor>
              </controlPr>
            </control>
          </mc:Choice>
        </mc:AlternateContent>
        <mc:AlternateContent xmlns:mc="http://schemas.openxmlformats.org/markup-compatibility/2006">
          <mc:Choice Requires="x14">
            <control shapeId="1028" r:id="rId6" name="myCombo">
              <controlPr defaultSize="0" autoLine="0" autoPict="0">
                <anchor moveWithCells="1">
                  <from>
                    <xdr:col>6</xdr:col>
                    <xdr:colOff>819150</xdr:colOff>
                    <xdr:row>15</xdr:row>
                    <xdr:rowOff>12700</xdr:rowOff>
                  </from>
                  <to>
                    <xdr:col>10</xdr:col>
                    <xdr:colOff>177800</xdr:colOff>
                    <xdr:row>16</xdr:row>
                    <xdr:rowOff>146050</xdr:rowOff>
                  </to>
                </anchor>
              </controlPr>
            </control>
          </mc:Choice>
        </mc:AlternateContent>
        <mc:AlternateContent xmlns:mc="http://schemas.openxmlformats.org/markup-compatibility/2006">
          <mc:Choice Requires="x14">
            <control shapeId="1029" r:id="rId7" name="Button 5">
              <controlPr defaultSize="0" print="0" autoFill="0" autoPict="0" macro="[0]!Select_Region">
                <anchor moveWithCells="1" sizeWithCells="1">
                  <from>
                    <xdr:col>10</xdr:col>
                    <xdr:colOff>495300</xdr:colOff>
                    <xdr:row>14</xdr:row>
                    <xdr:rowOff>152400</xdr:rowOff>
                  </from>
                  <to>
                    <xdr:col>12</xdr:col>
                    <xdr:colOff>558800</xdr:colOff>
                    <xdr:row>17</xdr:row>
                    <xdr:rowOff>63500</xdr:rowOff>
                  </to>
                </anchor>
              </controlPr>
            </control>
          </mc:Choice>
        </mc:AlternateContent>
        <mc:AlternateContent xmlns:mc="http://schemas.openxmlformats.org/markup-compatibility/2006">
          <mc:Choice Requires="x14">
            <control shapeId="1030" r:id="rId8" name="Button 6">
              <controlPr defaultSize="0" print="0" autoFill="0" autoPict="0" macro="[0]!export_report">
                <anchor moveWithCells="1" sizeWithCells="1">
                  <from>
                    <xdr:col>3</xdr:col>
                    <xdr:colOff>577850</xdr:colOff>
                    <xdr:row>19</xdr:row>
                    <xdr:rowOff>127000</xdr:rowOff>
                  </from>
                  <to>
                    <xdr:col>6</xdr:col>
                    <xdr:colOff>635000</xdr:colOff>
                    <xdr:row>22</xdr:row>
                    <xdr:rowOff>31750</xdr:rowOff>
                  </to>
                </anchor>
              </controlPr>
            </control>
          </mc:Choice>
        </mc:AlternateContent>
        <mc:AlternateContent xmlns:mc="http://schemas.openxmlformats.org/markup-compatibility/2006">
          <mc:Choice Requires="x14">
            <control shapeId="1031" r:id="rId9" name="Button 7">
              <controlPr defaultSize="0" print="0" autoFill="0" autoPict="0" macro="[0]!export_report2">
                <anchor moveWithCells="1" sizeWithCells="1">
                  <from>
                    <xdr:col>8</xdr:col>
                    <xdr:colOff>50800</xdr:colOff>
                    <xdr:row>19</xdr:row>
                    <xdr:rowOff>146050</xdr:rowOff>
                  </from>
                  <to>
                    <xdr:col>10</xdr:col>
                    <xdr:colOff>628650</xdr:colOff>
                    <xdr:row>22</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
  <dimension ref="A1:M141"/>
  <sheetViews>
    <sheetView workbookViewId="0">
      <selection activeCell="C1" sqref="C1:C1048576"/>
    </sheetView>
  </sheetViews>
  <sheetFormatPr defaultColWidth="9.08984375" defaultRowHeight="12.5" x14ac:dyDescent="0.25"/>
  <cols>
    <col min="1" max="1" width="38.26953125" customWidth="1"/>
    <col min="2" max="8" width="8.7265625"/>
    <col min="9" max="9" width="11.90625" style="8" customWidth="1"/>
    <col min="10" max="10" width="9.08984375" style="8"/>
    <col min="11" max="11" width="21.7265625" style="8" customWidth="1"/>
    <col min="12" max="12" width="9.08984375" style="8"/>
    <col min="13" max="13" width="13.7265625" style="28" customWidth="1"/>
    <col min="14" max="16384" width="9.08984375" style="8"/>
  </cols>
  <sheetData>
    <row r="1" spans="1:13" s="9" customFormat="1" x14ac:dyDescent="0.25">
      <c r="A1" t="s">
        <v>39</v>
      </c>
      <c r="B1" t="s">
        <v>2</v>
      </c>
      <c r="C1" t="s">
        <v>40</v>
      </c>
      <c r="D1" t="s">
        <v>49</v>
      </c>
      <c r="E1" t="s">
        <v>52</v>
      </c>
      <c r="F1" t="s">
        <v>43</v>
      </c>
      <c r="G1" t="s">
        <v>41</v>
      </c>
      <c r="H1" t="s">
        <v>42</v>
      </c>
      <c r="I1" s="30" t="s">
        <v>35</v>
      </c>
      <c r="J1" s="30" t="s">
        <v>44</v>
      </c>
      <c r="K1" s="30" t="s">
        <v>0</v>
      </c>
      <c r="L1" s="30" t="s">
        <v>53</v>
      </c>
      <c r="M1" s="31" t="s">
        <v>123</v>
      </c>
    </row>
    <row r="2" spans="1:13" hidden="1" x14ac:dyDescent="0.25">
      <c r="A2" t="s">
        <v>30</v>
      </c>
      <c r="B2">
        <v>84030</v>
      </c>
      <c r="C2">
        <v>43380</v>
      </c>
      <c r="D2">
        <v>8050</v>
      </c>
      <c r="E2">
        <v>120</v>
      </c>
      <c r="F2" t="s">
        <v>93</v>
      </c>
      <c r="G2">
        <v>120</v>
      </c>
      <c r="H2">
        <v>6960</v>
      </c>
      <c r="I2" s="8" t="str">
        <f>VLOOKUP(Table1[[#This Row],[Company ID]],MCompany[#All],2,FALSE)</f>
        <v>Bere Kleid</v>
      </c>
      <c r="J2" s="9" t="str">
        <f>VLOOKUP(Table1[[#This Row],[Customer code]],MCustomer[#All],2,FALSE)</f>
        <v>Aida GmbH</v>
      </c>
      <c r="K2" s="8" t="str">
        <f>VLOOKUP(Table1[[#This Row],[Article code]],MArticle[#All],2,FALSE)</f>
        <v>Women evening dress Cocktail red</v>
      </c>
      <c r="L2" s="8" t="str">
        <f>VLOOKUP(Table1[[#This Row],[Company ID]],MCompany[#All],4,FALSE)</f>
        <v>Europe</v>
      </c>
      <c r="M2" s="28">
        <f>IF(Table1[[#This Row],[Region]]="Europe",VLOOKUP(MONTH(Table1[[#This Row],[Sales Document]]),MExchange[#All],2,FALSE),1)*Table1[[#This Row],[Sales Value]]</f>
        <v>7397.9232000000002</v>
      </c>
    </row>
    <row r="3" spans="1:13" hidden="1" x14ac:dyDescent="0.25">
      <c r="A3" t="s">
        <v>30</v>
      </c>
      <c r="B3">
        <v>84030</v>
      </c>
      <c r="C3">
        <v>43380</v>
      </c>
      <c r="D3">
        <v>8050</v>
      </c>
      <c r="E3">
        <v>104</v>
      </c>
      <c r="F3">
        <v>1</v>
      </c>
      <c r="G3">
        <v>430</v>
      </c>
      <c r="H3">
        <v>5160</v>
      </c>
      <c r="I3" s="27" t="str">
        <f>VLOOKUP(Table1[[#This Row],[Company ID]],MCompany[#All],2,FALSE)</f>
        <v>Bere Kleid</v>
      </c>
      <c r="J3" s="29" t="str">
        <f>VLOOKUP(Table1[[#This Row],[Customer code]],MCustomer[#All],2,FALSE)</f>
        <v>Aida GmbH</v>
      </c>
      <c r="K3" s="27" t="str">
        <f>VLOOKUP(Table1[[#This Row],[Article code]],MArticle[#All],2,FALSE)</f>
        <v>Women type T simple black</v>
      </c>
      <c r="L3" s="27" t="str">
        <f>VLOOKUP(Table1[[#This Row],[Company ID]],MCompany[#All],4,FALSE)</f>
        <v>Europe</v>
      </c>
      <c r="M3" s="28">
        <f>IF(Table1[[#This Row],[Region]]="Europe",VLOOKUP(MONTH(Table1[[#This Row],[Sales Document]]),MExchange[#All],2,FALSE),1)*Table1[[#This Row],[Sales Value]]</f>
        <v>5484.6672000000008</v>
      </c>
    </row>
    <row r="4" spans="1:13" hidden="1" x14ac:dyDescent="0.25">
      <c r="A4" t="s">
        <v>30</v>
      </c>
      <c r="B4">
        <v>84030</v>
      </c>
      <c r="C4">
        <v>43380</v>
      </c>
      <c r="D4">
        <v>8050</v>
      </c>
      <c r="E4">
        <v>105</v>
      </c>
      <c r="F4" t="s">
        <v>93</v>
      </c>
      <c r="G4">
        <v>120</v>
      </c>
      <c r="H4">
        <v>1200</v>
      </c>
      <c r="I4" s="27" t="str">
        <f>VLOOKUP(Table1[[#This Row],[Company ID]],MCompany[#All],2,FALSE)</f>
        <v>Bere Kleid</v>
      </c>
      <c r="J4" s="29" t="str">
        <f>VLOOKUP(Table1[[#This Row],[Customer code]],MCustomer[#All],2,FALSE)</f>
        <v>Aida GmbH</v>
      </c>
      <c r="K4" s="27" t="str">
        <f>VLOOKUP(Table1[[#This Row],[Article code]],MArticle[#All],2,FALSE)</f>
        <v>Women crop top black</v>
      </c>
      <c r="L4" s="27" t="str">
        <f>VLOOKUP(Table1[[#This Row],[Company ID]],MCompany[#All],4,FALSE)</f>
        <v>Europe</v>
      </c>
      <c r="M4" s="28">
        <f>IF(Table1[[#This Row],[Region]]="Europe",VLOOKUP(MONTH(Table1[[#This Row],[Sales Document]]),MExchange[#All],2,FALSE),1)*Table1[[#This Row],[Sales Value]]</f>
        <v>1275.5040000000001</v>
      </c>
    </row>
    <row r="5" spans="1:13" hidden="1" x14ac:dyDescent="0.25">
      <c r="A5" t="s">
        <v>30</v>
      </c>
      <c r="B5">
        <v>84030</v>
      </c>
      <c r="C5">
        <v>43380</v>
      </c>
      <c r="D5">
        <v>8050</v>
      </c>
      <c r="E5">
        <v>107</v>
      </c>
      <c r="F5">
        <v>1</v>
      </c>
      <c r="G5">
        <v>690</v>
      </c>
      <c r="H5">
        <v>3450</v>
      </c>
      <c r="I5" s="27" t="str">
        <f>VLOOKUP(Table1[[#This Row],[Company ID]],MCompany[#All],2,FALSE)</f>
        <v>Bere Kleid</v>
      </c>
      <c r="J5" s="29" t="str">
        <f>VLOOKUP(Table1[[#This Row],[Customer code]],MCustomer[#All],2,FALSE)</f>
        <v>Aida GmbH</v>
      </c>
      <c r="K5" s="27" t="str">
        <f>VLOOKUP(Table1[[#This Row],[Article code]],MArticle[#All],2,FALSE)</f>
        <v>Women basics</v>
      </c>
      <c r="L5" s="27" t="str">
        <f>VLOOKUP(Table1[[#This Row],[Company ID]],MCompany[#All],4,FALSE)</f>
        <v>Europe</v>
      </c>
      <c r="M5" s="28">
        <f>IF(Table1[[#This Row],[Region]]="Europe",VLOOKUP(MONTH(Table1[[#This Row],[Sales Document]]),MExchange[#All],2,FALSE),1)*Table1[[#This Row],[Sales Value]]</f>
        <v>3667.0740000000005</v>
      </c>
    </row>
    <row r="6" spans="1:13" hidden="1" x14ac:dyDescent="0.25">
      <c r="A6" t="s">
        <v>30</v>
      </c>
      <c r="B6">
        <v>84031</v>
      </c>
      <c r="C6">
        <v>43381</v>
      </c>
      <c r="D6">
        <v>8040</v>
      </c>
      <c r="E6">
        <v>104</v>
      </c>
      <c r="F6" t="s">
        <v>93</v>
      </c>
      <c r="G6">
        <v>870</v>
      </c>
      <c r="H6">
        <v>10440</v>
      </c>
      <c r="I6" s="27" t="str">
        <f>VLOOKUP(Table1[[#This Row],[Company ID]],MCompany[#All],2,FALSE)</f>
        <v>Bere Kleid</v>
      </c>
      <c r="J6" s="29" t="str">
        <f>VLOOKUP(Table1[[#This Row],[Customer code]],MCustomer[#All],2,FALSE)</f>
        <v>Werner Strauss</v>
      </c>
      <c r="K6" s="27" t="str">
        <f>VLOOKUP(Table1[[#This Row],[Article code]],MArticle[#All],2,FALSE)</f>
        <v>Women type T simple black</v>
      </c>
      <c r="L6" s="27" t="str">
        <f>VLOOKUP(Table1[[#This Row],[Company ID]],MCompany[#All],4,FALSE)</f>
        <v>Europe</v>
      </c>
      <c r="M6" s="28">
        <f>IF(Table1[[#This Row],[Region]]="Europe",VLOOKUP(MONTH(Table1[[#This Row],[Sales Document]]),MExchange[#All],2,FALSE),1)*Table1[[#This Row],[Sales Value]]</f>
        <v>11096.884800000002</v>
      </c>
    </row>
    <row r="7" spans="1:13" hidden="1" x14ac:dyDescent="0.25">
      <c r="A7" t="s">
        <v>30</v>
      </c>
      <c r="B7">
        <v>84031</v>
      </c>
      <c r="C7">
        <v>43381</v>
      </c>
      <c r="D7">
        <v>8040</v>
      </c>
      <c r="E7">
        <v>107</v>
      </c>
      <c r="F7" t="s">
        <v>93</v>
      </c>
      <c r="G7">
        <v>760</v>
      </c>
      <c r="H7">
        <v>3800</v>
      </c>
      <c r="I7" s="27" t="str">
        <f>VLOOKUP(Table1[[#This Row],[Company ID]],MCompany[#All],2,FALSE)</f>
        <v>Bere Kleid</v>
      </c>
      <c r="J7" s="29" t="str">
        <f>VLOOKUP(Table1[[#This Row],[Customer code]],MCustomer[#All],2,FALSE)</f>
        <v>Werner Strauss</v>
      </c>
      <c r="K7" s="27" t="str">
        <f>VLOOKUP(Table1[[#This Row],[Article code]],MArticle[#All],2,FALSE)</f>
        <v>Women basics</v>
      </c>
      <c r="L7" s="27" t="str">
        <f>VLOOKUP(Table1[[#This Row],[Company ID]],MCompany[#All],4,FALSE)</f>
        <v>Europe</v>
      </c>
      <c r="M7" s="28">
        <f>IF(Table1[[#This Row],[Region]]="Europe",VLOOKUP(MONTH(Table1[[#This Row],[Sales Document]]),MExchange[#All],2,FALSE),1)*Table1[[#This Row],[Sales Value]]</f>
        <v>4039.0960000000005</v>
      </c>
    </row>
    <row r="8" spans="1:13" hidden="1" x14ac:dyDescent="0.25">
      <c r="A8" t="s">
        <v>30</v>
      </c>
      <c r="B8">
        <v>84031</v>
      </c>
      <c r="C8">
        <v>43381</v>
      </c>
      <c r="D8">
        <v>8040</v>
      </c>
      <c r="E8">
        <v>110</v>
      </c>
      <c r="F8">
        <v>2</v>
      </c>
      <c r="G8">
        <v>500</v>
      </c>
      <c r="H8">
        <v>30000</v>
      </c>
      <c r="I8" s="27" t="str">
        <f>VLOOKUP(Table1[[#This Row],[Company ID]],MCompany[#All],2,FALSE)</f>
        <v>Bere Kleid</v>
      </c>
      <c r="J8" s="29" t="str">
        <f>VLOOKUP(Table1[[#This Row],[Customer code]],MCustomer[#All],2,FALSE)</f>
        <v>Werner Strauss</v>
      </c>
      <c r="K8" s="27" t="str">
        <f>VLOOKUP(Table1[[#This Row],[Article code]],MArticle[#All],2,FALSE)</f>
        <v>Smartphone case diamond</v>
      </c>
      <c r="L8" s="27" t="str">
        <f>VLOOKUP(Table1[[#This Row],[Company ID]],MCompany[#All],4,FALSE)</f>
        <v>Europe</v>
      </c>
      <c r="M8" s="28">
        <f>IF(Table1[[#This Row],[Region]]="Europe",VLOOKUP(MONTH(Table1[[#This Row],[Sales Document]]),MExchange[#All],2,FALSE),1)*Table1[[#This Row],[Sales Value]]</f>
        <v>31887.600000000002</v>
      </c>
    </row>
    <row r="9" spans="1:13" hidden="1" x14ac:dyDescent="0.25">
      <c r="A9" t="s">
        <v>30</v>
      </c>
      <c r="B9">
        <v>88112</v>
      </c>
      <c r="C9">
        <v>43384</v>
      </c>
      <c r="D9">
        <v>8040</v>
      </c>
      <c r="E9">
        <v>110</v>
      </c>
      <c r="G9">
        <v>480</v>
      </c>
      <c r="H9">
        <v>28800</v>
      </c>
      <c r="I9" s="27" t="str">
        <f>VLOOKUP(Table1[[#This Row],[Company ID]],MCompany[#All],2,FALSE)</f>
        <v>Bere Kleid</v>
      </c>
      <c r="J9" s="29" t="str">
        <f>VLOOKUP(Table1[[#This Row],[Customer code]],MCustomer[#All],2,FALSE)</f>
        <v>Werner Strauss</v>
      </c>
      <c r="K9" s="27" t="str">
        <f>VLOOKUP(Table1[[#This Row],[Article code]],MArticle[#All],2,FALSE)</f>
        <v>Smartphone case diamond</v>
      </c>
      <c r="L9" s="27" t="str">
        <f>VLOOKUP(Table1[[#This Row],[Company ID]],MCompany[#All],4,FALSE)</f>
        <v>Europe</v>
      </c>
      <c r="M9" s="28">
        <f>IF(Table1[[#This Row],[Region]]="Europe",VLOOKUP(MONTH(Table1[[#This Row],[Sales Document]]),MExchange[#All],2,FALSE),1)*Table1[[#This Row],[Sales Value]]</f>
        <v>30801.340799999998</v>
      </c>
    </row>
    <row r="10" spans="1:13" hidden="1" x14ac:dyDescent="0.25">
      <c r="A10" t="s">
        <v>30</v>
      </c>
      <c r="B10">
        <v>88112</v>
      </c>
      <c r="C10">
        <v>43384</v>
      </c>
      <c r="D10">
        <v>8040</v>
      </c>
      <c r="E10">
        <v>119</v>
      </c>
      <c r="F10" t="s">
        <v>93</v>
      </c>
      <c r="G10">
        <v>630</v>
      </c>
      <c r="H10">
        <v>39060</v>
      </c>
      <c r="I10" s="27" t="str">
        <f>VLOOKUP(Table1[[#This Row],[Company ID]],MCompany[#All],2,FALSE)</f>
        <v>Bere Kleid</v>
      </c>
      <c r="J10" s="29" t="str">
        <f>VLOOKUP(Table1[[#This Row],[Customer code]],MCustomer[#All],2,FALSE)</f>
        <v>Werner Strauss</v>
      </c>
      <c r="K10" s="27" t="str">
        <f>VLOOKUP(Table1[[#This Row],[Article code]],MArticle[#All],2,FALSE)</f>
        <v>Women evening dress long black</v>
      </c>
      <c r="L10" s="27" t="str">
        <f>VLOOKUP(Table1[[#This Row],[Company ID]],MCompany[#All],4,FALSE)</f>
        <v>Europe</v>
      </c>
      <c r="M10" s="28">
        <f>IF(Table1[[#This Row],[Region]]="Europe",VLOOKUP(MONTH(Table1[[#This Row],[Sales Document]]),MExchange[#All],2,FALSE),1)*Table1[[#This Row],[Sales Value]]</f>
        <v>41774.318460000002</v>
      </c>
    </row>
    <row r="11" spans="1:13" hidden="1" x14ac:dyDescent="0.25">
      <c r="A11" t="s">
        <v>30</v>
      </c>
      <c r="B11">
        <v>88112</v>
      </c>
      <c r="C11">
        <v>43384</v>
      </c>
      <c r="D11">
        <v>8040</v>
      </c>
      <c r="E11">
        <v>120</v>
      </c>
      <c r="G11">
        <v>150</v>
      </c>
      <c r="H11">
        <v>8700</v>
      </c>
      <c r="I11" s="27" t="str">
        <f>VLOOKUP(Table1[[#This Row],[Company ID]],MCompany[#All],2,FALSE)</f>
        <v>Bere Kleid</v>
      </c>
      <c r="J11" s="29" t="str">
        <f>VLOOKUP(Table1[[#This Row],[Customer code]],MCustomer[#All],2,FALSE)</f>
        <v>Werner Strauss</v>
      </c>
      <c r="K11" s="27" t="str">
        <f>VLOOKUP(Table1[[#This Row],[Article code]],MArticle[#All],2,FALSE)</f>
        <v>Women evening dress Cocktail red</v>
      </c>
      <c r="L11" s="27" t="str">
        <f>VLOOKUP(Table1[[#This Row],[Company ID]],MCompany[#All],4,FALSE)</f>
        <v>Europe</v>
      </c>
      <c r="M11" s="28">
        <f>IF(Table1[[#This Row],[Region]]="Europe",VLOOKUP(MONTH(Table1[[#This Row],[Sales Document]]),MExchange[#All],2,FALSE),1)*Table1[[#This Row],[Sales Value]]</f>
        <v>9304.5717000000004</v>
      </c>
    </row>
    <row r="12" spans="1:13" hidden="1" x14ac:dyDescent="0.25">
      <c r="A12" t="s">
        <v>30</v>
      </c>
      <c r="B12">
        <v>88112</v>
      </c>
      <c r="C12">
        <v>43384</v>
      </c>
      <c r="D12">
        <v>8040</v>
      </c>
      <c r="E12">
        <v>116</v>
      </c>
      <c r="F12">
        <v>4</v>
      </c>
      <c r="G12">
        <v>760</v>
      </c>
      <c r="H12">
        <v>4560</v>
      </c>
      <c r="I12" s="27" t="str">
        <f>VLOOKUP(Table1[[#This Row],[Company ID]],MCompany[#All],2,FALSE)</f>
        <v>Bere Kleid</v>
      </c>
      <c r="J12" s="29" t="str">
        <f>VLOOKUP(Table1[[#This Row],[Customer code]],MCustomer[#All],2,FALSE)</f>
        <v>Werner Strauss</v>
      </c>
      <c r="K12" s="27" t="str">
        <f>VLOOKUP(Table1[[#This Row],[Article code]],MArticle[#All],2,FALSE)</f>
        <v>Unisex tank top white</v>
      </c>
      <c r="L12" s="27" t="str">
        <f>VLOOKUP(Table1[[#This Row],[Company ID]],MCompany[#All],4,FALSE)</f>
        <v>Europe</v>
      </c>
      <c r="M12" s="28">
        <f>IF(Table1[[#This Row],[Region]]="Europe",VLOOKUP(MONTH(Table1[[#This Row],[Sales Document]]),MExchange[#All],2,FALSE),1)*Table1[[#This Row],[Sales Value]]</f>
        <v>4876.87896</v>
      </c>
    </row>
    <row r="13" spans="1:13" hidden="1" x14ac:dyDescent="0.25">
      <c r="A13" t="s">
        <v>30</v>
      </c>
      <c r="B13">
        <v>88112</v>
      </c>
      <c r="C13">
        <v>43384</v>
      </c>
      <c r="D13">
        <v>8040</v>
      </c>
      <c r="E13">
        <v>111</v>
      </c>
      <c r="G13">
        <v>590</v>
      </c>
      <c r="H13">
        <v>11800</v>
      </c>
      <c r="I13" s="27" t="str">
        <f>VLOOKUP(Table1[[#This Row],[Company ID]],MCompany[#All],2,FALSE)</f>
        <v>Bere Kleid</v>
      </c>
      <c r="J13" s="29" t="str">
        <f>VLOOKUP(Table1[[#This Row],[Customer code]],MCustomer[#All],2,FALSE)</f>
        <v>Werner Strauss</v>
      </c>
      <c r="K13" s="27" t="str">
        <f>VLOOKUP(Table1[[#This Row],[Article code]],MArticle[#All],2,FALSE)</f>
        <v>Smartphone case simple</v>
      </c>
      <c r="L13" s="27" t="str">
        <f>VLOOKUP(Table1[[#This Row],[Company ID]],MCompany[#All],4,FALSE)</f>
        <v>Europe</v>
      </c>
      <c r="M13" s="28">
        <f>IF(Table1[[#This Row],[Region]]="Europe",VLOOKUP(MONTH(Table1[[#This Row],[Sales Document]]),MExchange[#All],2,FALSE),1)*Table1[[#This Row],[Sales Value]]</f>
        <v>12619.9938</v>
      </c>
    </row>
    <row r="14" spans="1:13" hidden="1" x14ac:dyDescent="0.25">
      <c r="A14" t="s">
        <v>30</v>
      </c>
      <c r="B14">
        <v>88112</v>
      </c>
      <c r="C14">
        <v>43384</v>
      </c>
      <c r="D14">
        <v>8040</v>
      </c>
      <c r="E14">
        <v>110</v>
      </c>
      <c r="G14">
        <v>530</v>
      </c>
      <c r="H14">
        <v>31800</v>
      </c>
      <c r="I14" s="27" t="str">
        <f>VLOOKUP(Table1[[#This Row],[Company ID]],MCompany[#All],2,FALSE)</f>
        <v>Bere Kleid</v>
      </c>
      <c r="J14" s="29" t="str">
        <f>VLOOKUP(Table1[[#This Row],[Customer code]],MCustomer[#All],2,FALSE)</f>
        <v>Werner Strauss</v>
      </c>
      <c r="K14" s="27" t="str">
        <f>VLOOKUP(Table1[[#This Row],[Article code]],MArticle[#All],2,FALSE)</f>
        <v>Smartphone case diamond</v>
      </c>
      <c r="L14" s="27" t="str">
        <f>VLOOKUP(Table1[[#This Row],[Company ID]],MCompany[#All],4,FALSE)</f>
        <v>Europe</v>
      </c>
      <c r="M14" s="28">
        <f>IF(Table1[[#This Row],[Region]]="Europe",VLOOKUP(MONTH(Table1[[#This Row],[Sales Document]]),MExchange[#All],2,FALSE),1)*Table1[[#This Row],[Sales Value]]</f>
        <v>34009.813799999996</v>
      </c>
    </row>
    <row r="15" spans="1:13" hidden="1" x14ac:dyDescent="0.25">
      <c r="A15" t="s">
        <v>30</v>
      </c>
      <c r="B15">
        <v>88112</v>
      </c>
      <c r="C15">
        <v>43384</v>
      </c>
      <c r="D15">
        <v>8040</v>
      </c>
      <c r="E15">
        <v>109</v>
      </c>
      <c r="G15">
        <v>260</v>
      </c>
      <c r="H15">
        <v>7280</v>
      </c>
      <c r="I15" s="27" t="str">
        <f>VLOOKUP(Table1[[#This Row],[Company ID]],MCompany[#All],2,FALSE)</f>
        <v>Bere Kleid</v>
      </c>
      <c r="J15" s="29" t="str">
        <f>VLOOKUP(Table1[[#This Row],[Customer code]],MCustomer[#All],2,FALSE)</f>
        <v>Werner Strauss</v>
      </c>
      <c r="K15" s="27" t="str">
        <f>VLOOKUP(Table1[[#This Row],[Article code]],MArticle[#All],2,FALSE)</f>
        <v>Laptop bag red</v>
      </c>
      <c r="L15" s="27" t="str">
        <f>VLOOKUP(Table1[[#This Row],[Company ID]],MCompany[#All],4,FALSE)</f>
        <v>Europe</v>
      </c>
      <c r="M15" s="28">
        <f>IF(Table1[[#This Row],[Region]]="Europe",VLOOKUP(MONTH(Table1[[#This Row],[Sales Document]]),MExchange[#All],2,FALSE),1)*Table1[[#This Row],[Sales Value]]</f>
        <v>7785.8944799999999</v>
      </c>
    </row>
    <row r="16" spans="1:13" hidden="1" x14ac:dyDescent="0.25">
      <c r="A16" t="s">
        <v>30</v>
      </c>
      <c r="B16">
        <v>85442</v>
      </c>
      <c r="C16">
        <v>43388</v>
      </c>
      <c r="D16">
        <v>8050</v>
      </c>
      <c r="E16">
        <v>107</v>
      </c>
      <c r="G16">
        <v>270</v>
      </c>
      <c r="H16">
        <v>1350</v>
      </c>
      <c r="I16" s="27" t="str">
        <f>VLOOKUP(Table1[[#This Row],[Company ID]],MCompany[#All],2,FALSE)</f>
        <v>Bere Kleid</v>
      </c>
      <c r="J16" s="29" t="str">
        <f>VLOOKUP(Table1[[#This Row],[Customer code]],MCustomer[#All],2,FALSE)</f>
        <v>Aida GmbH</v>
      </c>
      <c r="K16" s="27" t="str">
        <f>VLOOKUP(Table1[[#This Row],[Article code]],MArticle[#All],2,FALSE)</f>
        <v>Women basics</v>
      </c>
      <c r="L16" s="27" t="str">
        <f>VLOOKUP(Table1[[#This Row],[Company ID]],MCompany[#All],4,FALSE)</f>
        <v>Europe</v>
      </c>
      <c r="M16" s="28">
        <f>IF(Table1[[#This Row],[Region]]="Europe",VLOOKUP(MONTH(Table1[[#This Row],[Sales Document]]),MExchange[#All],2,FALSE),1)*Table1[[#This Row],[Sales Value]]</f>
        <v>1607.7825</v>
      </c>
    </row>
    <row r="17" spans="1:13" hidden="1" x14ac:dyDescent="0.25">
      <c r="A17" t="s">
        <v>30</v>
      </c>
      <c r="B17">
        <v>85442</v>
      </c>
      <c r="C17">
        <v>43388</v>
      </c>
      <c r="D17">
        <v>8050</v>
      </c>
      <c r="E17">
        <v>103</v>
      </c>
      <c r="G17">
        <v>630</v>
      </c>
      <c r="H17">
        <v>7560</v>
      </c>
      <c r="I17" s="27" t="str">
        <f>VLOOKUP(Table1[[#This Row],[Company ID]],MCompany[#All],2,FALSE)</f>
        <v>Bere Kleid</v>
      </c>
      <c r="J17" s="29" t="str">
        <f>VLOOKUP(Table1[[#This Row],[Customer code]],MCustomer[#All],2,FALSE)</f>
        <v>Aida GmbH</v>
      </c>
      <c r="K17" s="27" t="str">
        <f>VLOOKUP(Table1[[#This Row],[Article code]],MArticle[#All],2,FALSE)</f>
        <v>Women type T simple white</v>
      </c>
      <c r="L17" s="27" t="str">
        <f>VLOOKUP(Table1[[#This Row],[Company ID]],MCompany[#All],4,FALSE)</f>
        <v>Europe</v>
      </c>
      <c r="M17" s="28">
        <f>IF(Table1[[#This Row],[Region]]="Europe",VLOOKUP(MONTH(Table1[[#This Row],[Sales Document]]),MExchange[#All],2,FALSE),1)*Table1[[#This Row],[Sales Value]]</f>
        <v>9003.5820000000003</v>
      </c>
    </row>
    <row r="18" spans="1:13" hidden="1" x14ac:dyDescent="0.25">
      <c r="A18" t="s">
        <v>30</v>
      </c>
      <c r="B18">
        <v>85442</v>
      </c>
      <c r="C18">
        <v>43388</v>
      </c>
      <c r="D18">
        <v>8050</v>
      </c>
      <c r="E18">
        <v>104</v>
      </c>
      <c r="G18">
        <v>440</v>
      </c>
      <c r="H18">
        <v>5280</v>
      </c>
      <c r="I18" s="27" t="str">
        <f>VLOOKUP(Table1[[#This Row],[Company ID]],MCompany[#All],2,FALSE)</f>
        <v>Bere Kleid</v>
      </c>
      <c r="J18" s="29" t="str">
        <f>VLOOKUP(Table1[[#This Row],[Customer code]],MCustomer[#All],2,FALSE)</f>
        <v>Aida GmbH</v>
      </c>
      <c r="K18" s="27" t="str">
        <f>VLOOKUP(Table1[[#This Row],[Article code]],MArticle[#All],2,FALSE)</f>
        <v>Women type T simple black</v>
      </c>
      <c r="L18" s="27" t="str">
        <f>VLOOKUP(Table1[[#This Row],[Company ID]],MCompany[#All],4,FALSE)</f>
        <v>Europe</v>
      </c>
      <c r="M18" s="28">
        <f>IF(Table1[[#This Row],[Region]]="Europe",VLOOKUP(MONTH(Table1[[#This Row],[Sales Document]]),MExchange[#All],2,FALSE),1)*Table1[[#This Row],[Sales Value]]</f>
        <v>6288.2159999999994</v>
      </c>
    </row>
    <row r="19" spans="1:13" hidden="1" x14ac:dyDescent="0.25">
      <c r="A19" t="s">
        <v>30</v>
      </c>
      <c r="B19">
        <v>85442</v>
      </c>
      <c r="C19">
        <v>43388</v>
      </c>
      <c r="D19">
        <v>8050</v>
      </c>
      <c r="E19">
        <v>120</v>
      </c>
      <c r="G19">
        <v>500</v>
      </c>
      <c r="H19">
        <v>29000</v>
      </c>
      <c r="I19" s="27" t="str">
        <f>VLOOKUP(Table1[[#This Row],[Company ID]],MCompany[#All],2,FALSE)</f>
        <v>Bere Kleid</v>
      </c>
      <c r="J19" s="29" t="str">
        <f>VLOOKUP(Table1[[#This Row],[Customer code]],MCustomer[#All],2,FALSE)</f>
        <v>Aida GmbH</v>
      </c>
      <c r="K19" s="27" t="str">
        <f>VLOOKUP(Table1[[#This Row],[Article code]],MArticle[#All],2,FALSE)</f>
        <v>Women evening dress Cocktail red</v>
      </c>
      <c r="L19" s="27" t="str">
        <f>VLOOKUP(Table1[[#This Row],[Company ID]],MCompany[#All],4,FALSE)</f>
        <v>Europe</v>
      </c>
      <c r="M19" s="28">
        <f>IF(Table1[[#This Row],[Region]]="Europe",VLOOKUP(MONTH(Table1[[#This Row],[Sales Document]]),MExchange[#All],2,FALSE),1)*Table1[[#This Row],[Sales Value]]</f>
        <v>34537.549999999996</v>
      </c>
    </row>
    <row r="20" spans="1:13" hidden="1" x14ac:dyDescent="0.25">
      <c r="A20" t="s">
        <v>30</v>
      </c>
      <c r="B20">
        <v>85442</v>
      </c>
      <c r="C20">
        <v>43388</v>
      </c>
      <c r="D20">
        <v>8050</v>
      </c>
      <c r="E20">
        <v>119</v>
      </c>
      <c r="F20">
        <v>1</v>
      </c>
      <c r="G20">
        <v>360</v>
      </c>
      <c r="H20">
        <v>22320</v>
      </c>
      <c r="I20" s="27" t="str">
        <f>VLOOKUP(Table1[[#This Row],[Company ID]],MCompany[#All],2,FALSE)</f>
        <v>Bere Kleid</v>
      </c>
      <c r="J20" s="29" t="str">
        <f>VLOOKUP(Table1[[#This Row],[Customer code]],MCustomer[#All],2,FALSE)</f>
        <v>Aida GmbH</v>
      </c>
      <c r="K20" s="27" t="str">
        <f>VLOOKUP(Table1[[#This Row],[Article code]],MArticle[#All],2,FALSE)</f>
        <v>Women evening dress long black</v>
      </c>
      <c r="L20" s="27" t="str">
        <f>VLOOKUP(Table1[[#This Row],[Company ID]],MCompany[#All],4,FALSE)</f>
        <v>Europe</v>
      </c>
      <c r="M20" s="28">
        <f>IF(Table1[[#This Row],[Region]]="Europe",VLOOKUP(MONTH(Table1[[#This Row],[Sales Document]]),MExchange[#All],2,FALSE),1)*Table1[[#This Row],[Sales Value]]</f>
        <v>26582.003999999997</v>
      </c>
    </row>
    <row r="21" spans="1:13" hidden="1" x14ac:dyDescent="0.25">
      <c r="A21" t="s">
        <v>30</v>
      </c>
      <c r="B21">
        <v>85442</v>
      </c>
      <c r="C21">
        <v>43388</v>
      </c>
      <c r="D21">
        <v>8050</v>
      </c>
      <c r="E21">
        <v>115</v>
      </c>
      <c r="G21">
        <v>810</v>
      </c>
      <c r="H21">
        <v>4860</v>
      </c>
      <c r="I21" s="27" t="str">
        <f>VLOOKUP(Table1[[#This Row],[Company ID]],MCompany[#All],2,FALSE)</f>
        <v>Bere Kleid</v>
      </c>
      <c r="J21" s="29" t="str">
        <f>VLOOKUP(Table1[[#This Row],[Customer code]],MCustomer[#All],2,FALSE)</f>
        <v>Aida GmbH</v>
      </c>
      <c r="K21" s="27" t="str">
        <f>VLOOKUP(Table1[[#This Row],[Article code]],MArticle[#All],2,FALSE)</f>
        <v>Unisex tank top black</v>
      </c>
      <c r="L21" s="27" t="str">
        <f>VLOOKUP(Table1[[#This Row],[Company ID]],MCompany[#All],4,FALSE)</f>
        <v>Europe</v>
      </c>
      <c r="M21" s="28">
        <f>IF(Table1[[#This Row],[Region]]="Europe",VLOOKUP(MONTH(Table1[[#This Row],[Sales Document]]),MExchange[#All],2,FALSE),1)*Table1[[#This Row],[Sales Value]]</f>
        <v>5788.0169999999998</v>
      </c>
    </row>
    <row r="22" spans="1:13" hidden="1" x14ac:dyDescent="0.25">
      <c r="A22" t="s">
        <v>30</v>
      </c>
      <c r="B22">
        <v>85442</v>
      </c>
      <c r="C22">
        <v>43388</v>
      </c>
      <c r="D22">
        <v>8050</v>
      </c>
      <c r="E22">
        <v>108</v>
      </c>
      <c r="G22">
        <v>800</v>
      </c>
      <c r="H22">
        <v>22400</v>
      </c>
      <c r="I22" s="27" t="str">
        <f>VLOOKUP(Table1[[#This Row],[Company ID]],MCompany[#All],2,FALSE)</f>
        <v>Bere Kleid</v>
      </c>
      <c r="J22" s="29" t="str">
        <f>VLOOKUP(Table1[[#This Row],[Customer code]],MCustomer[#All],2,FALSE)</f>
        <v>Aida GmbH</v>
      </c>
      <c r="K22" s="27" t="str">
        <f>VLOOKUP(Table1[[#This Row],[Article code]],MArticle[#All],2,FALSE)</f>
        <v>Laptop bag black</v>
      </c>
      <c r="L22" s="27" t="str">
        <f>VLOOKUP(Table1[[#This Row],[Company ID]],MCompany[#All],4,FALSE)</f>
        <v>Europe</v>
      </c>
      <c r="M22" s="28">
        <f>IF(Table1[[#This Row],[Region]]="Europe",VLOOKUP(MONTH(Table1[[#This Row],[Sales Document]]),MExchange[#All],2,FALSE),1)*Table1[[#This Row],[Sales Value]]</f>
        <v>26677.279999999999</v>
      </c>
    </row>
    <row r="23" spans="1:13" hidden="1" x14ac:dyDescent="0.25">
      <c r="A23" t="s">
        <v>30</v>
      </c>
      <c r="B23">
        <v>88588</v>
      </c>
      <c r="C23">
        <v>43388</v>
      </c>
      <c r="D23">
        <v>8040</v>
      </c>
      <c r="E23">
        <v>120</v>
      </c>
      <c r="G23">
        <v>470</v>
      </c>
      <c r="H23">
        <v>27260</v>
      </c>
      <c r="I23" s="27" t="str">
        <f>VLOOKUP(Table1[[#This Row],[Company ID]],MCompany[#All],2,FALSE)</f>
        <v>Bere Kleid</v>
      </c>
      <c r="J23" s="29" t="str">
        <f>VLOOKUP(Table1[[#This Row],[Customer code]],MCustomer[#All],2,FALSE)</f>
        <v>Werner Strauss</v>
      </c>
      <c r="K23" s="27" t="str">
        <f>VLOOKUP(Table1[[#This Row],[Article code]],MArticle[#All],2,FALSE)</f>
        <v>Women evening dress Cocktail red</v>
      </c>
      <c r="L23" s="27" t="str">
        <f>VLOOKUP(Table1[[#This Row],[Company ID]],MCompany[#All],4,FALSE)</f>
        <v>Europe</v>
      </c>
      <c r="M23" s="28">
        <f>IF(Table1[[#This Row],[Region]]="Europe",VLOOKUP(MONTH(Table1[[#This Row],[Sales Document]]),MExchange[#All],2,FALSE),1)*Table1[[#This Row],[Sales Value]]</f>
        <v>31427.236200000003</v>
      </c>
    </row>
    <row r="24" spans="1:13" hidden="1" x14ac:dyDescent="0.25">
      <c r="A24" t="s">
        <v>30</v>
      </c>
      <c r="B24">
        <v>88588</v>
      </c>
      <c r="C24">
        <v>43388</v>
      </c>
      <c r="D24">
        <v>8040</v>
      </c>
      <c r="E24">
        <v>119</v>
      </c>
      <c r="G24">
        <v>860</v>
      </c>
      <c r="H24">
        <v>53320</v>
      </c>
      <c r="I24" s="27" t="str">
        <f>VLOOKUP(Table1[[#This Row],[Company ID]],MCompany[#All],2,FALSE)</f>
        <v>Bere Kleid</v>
      </c>
      <c r="J24" s="29" t="str">
        <f>VLOOKUP(Table1[[#This Row],[Customer code]],MCustomer[#All],2,FALSE)</f>
        <v>Werner Strauss</v>
      </c>
      <c r="K24" s="27" t="str">
        <f>VLOOKUP(Table1[[#This Row],[Article code]],MArticle[#All],2,FALSE)</f>
        <v>Women evening dress long black</v>
      </c>
      <c r="L24" s="27" t="str">
        <f>VLOOKUP(Table1[[#This Row],[Company ID]],MCompany[#All],4,FALSE)</f>
        <v>Europe</v>
      </c>
      <c r="M24" s="28">
        <f>IF(Table1[[#This Row],[Region]]="Europe",VLOOKUP(MONTH(Table1[[#This Row],[Sales Document]]),MExchange[#All],2,FALSE),1)*Table1[[#This Row],[Sales Value]]</f>
        <v>61471.028400000003</v>
      </c>
    </row>
    <row r="25" spans="1:13" hidden="1" x14ac:dyDescent="0.25">
      <c r="A25" t="s">
        <v>30</v>
      </c>
      <c r="B25">
        <v>88588</v>
      </c>
      <c r="C25">
        <v>43388</v>
      </c>
      <c r="D25">
        <v>8040</v>
      </c>
      <c r="E25">
        <v>110</v>
      </c>
      <c r="G25">
        <v>180</v>
      </c>
      <c r="H25">
        <v>10800</v>
      </c>
      <c r="I25" s="27" t="str">
        <f>VLOOKUP(Table1[[#This Row],[Company ID]],MCompany[#All],2,FALSE)</f>
        <v>Bere Kleid</v>
      </c>
      <c r="J25" s="29" t="str">
        <f>VLOOKUP(Table1[[#This Row],[Customer code]],MCustomer[#All],2,FALSE)</f>
        <v>Werner Strauss</v>
      </c>
      <c r="K25" s="27" t="str">
        <f>VLOOKUP(Table1[[#This Row],[Article code]],MArticle[#All],2,FALSE)</f>
        <v>Smartphone case diamond</v>
      </c>
      <c r="L25" s="27" t="str">
        <f>VLOOKUP(Table1[[#This Row],[Company ID]],MCompany[#All],4,FALSE)</f>
        <v>Europe</v>
      </c>
      <c r="M25" s="28">
        <f>IF(Table1[[#This Row],[Region]]="Europe",VLOOKUP(MONTH(Table1[[#This Row],[Sales Document]]),MExchange[#All],2,FALSE),1)*Table1[[#This Row],[Sales Value]]</f>
        <v>12450.996000000001</v>
      </c>
    </row>
    <row r="26" spans="1:13" hidden="1" x14ac:dyDescent="0.25">
      <c r="A26" t="s">
        <v>30</v>
      </c>
      <c r="B26">
        <v>88588</v>
      </c>
      <c r="C26">
        <v>43388</v>
      </c>
      <c r="D26">
        <v>8040</v>
      </c>
      <c r="E26">
        <v>111</v>
      </c>
      <c r="G26">
        <v>750</v>
      </c>
      <c r="H26">
        <v>15000</v>
      </c>
      <c r="I26" s="27" t="str">
        <f>VLOOKUP(Table1[[#This Row],[Company ID]],MCompany[#All],2,FALSE)</f>
        <v>Bere Kleid</v>
      </c>
      <c r="J26" s="29" t="str">
        <f>VLOOKUP(Table1[[#This Row],[Customer code]],MCustomer[#All],2,FALSE)</f>
        <v>Werner Strauss</v>
      </c>
      <c r="K26" s="27" t="str">
        <f>VLOOKUP(Table1[[#This Row],[Article code]],MArticle[#All],2,FALSE)</f>
        <v>Smartphone case simple</v>
      </c>
      <c r="L26" s="27" t="str">
        <f>VLOOKUP(Table1[[#This Row],[Company ID]],MCompany[#All],4,FALSE)</f>
        <v>Europe</v>
      </c>
      <c r="M26" s="28">
        <f>IF(Table1[[#This Row],[Region]]="Europe",VLOOKUP(MONTH(Table1[[#This Row],[Sales Document]]),MExchange[#All],2,FALSE),1)*Table1[[#This Row],[Sales Value]]</f>
        <v>17293.05</v>
      </c>
    </row>
    <row r="27" spans="1:13" hidden="1" x14ac:dyDescent="0.25">
      <c r="A27" t="s">
        <v>30</v>
      </c>
      <c r="B27">
        <v>88588</v>
      </c>
      <c r="C27">
        <v>43388</v>
      </c>
      <c r="D27">
        <v>8040</v>
      </c>
      <c r="E27">
        <v>109</v>
      </c>
      <c r="G27">
        <v>560</v>
      </c>
      <c r="H27">
        <v>15680</v>
      </c>
      <c r="I27" s="27" t="str">
        <f>VLOOKUP(Table1[[#This Row],[Company ID]],MCompany[#All],2,FALSE)</f>
        <v>Bere Kleid</v>
      </c>
      <c r="J27" s="29" t="str">
        <f>VLOOKUP(Table1[[#This Row],[Customer code]],MCustomer[#All],2,FALSE)</f>
        <v>Werner Strauss</v>
      </c>
      <c r="K27" s="27" t="str">
        <f>VLOOKUP(Table1[[#This Row],[Article code]],MArticle[#All],2,FALSE)</f>
        <v>Laptop bag red</v>
      </c>
      <c r="L27" s="27" t="str">
        <f>VLOOKUP(Table1[[#This Row],[Company ID]],MCompany[#All],4,FALSE)</f>
        <v>Europe</v>
      </c>
      <c r="M27" s="28">
        <f>IF(Table1[[#This Row],[Region]]="Europe",VLOOKUP(MONTH(Table1[[#This Row],[Sales Document]]),MExchange[#All],2,FALSE),1)*Table1[[#This Row],[Sales Value]]</f>
        <v>18077.0016</v>
      </c>
    </row>
    <row r="28" spans="1:13" hidden="1" x14ac:dyDescent="0.25">
      <c r="A28" t="s">
        <v>30</v>
      </c>
      <c r="B28">
        <v>88588</v>
      </c>
      <c r="C28">
        <v>43388</v>
      </c>
      <c r="D28">
        <v>8040</v>
      </c>
      <c r="E28">
        <v>105</v>
      </c>
      <c r="G28">
        <v>130</v>
      </c>
      <c r="H28">
        <v>1300</v>
      </c>
      <c r="I28" s="27" t="str">
        <f>VLOOKUP(Table1[[#This Row],[Company ID]],MCompany[#All],2,FALSE)</f>
        <v>Bere Kleid</v>
      </c>
      <c r="J28" s="29" t="str">
        <f>VLOOKUP(Table1[[#This Row],[Customer code]],MCustomer[#All],2,FALSE)</f>
        <v>Werner Strauss</v>
      </c>
      <c r="K28" s="27" t="str">
        <f>VLOOKUP(Table1[[#This Row],[Article code]],MArticle[#All],2,FALSE)</f>
        <v>Women crop top black</v>
      </c>
      <c r="L28" s="27" t="str">
        <f>VLOOKUP(Table1[[#This Row],[Company ID]],MCompany[#All],4,FALSE)</f>
        <v>Europe</v>
      </c>
      <c r="M28" s="28">
        <f>IF(Table1[[#This Row],[Region]]="Europe",VLOOKUP(MONTH(Table1[[#This Row],[Sales Document]]),MExchange[#All],2,FALSE),1)*Table1[[#This Row],[Sales Value]]</f>
        <v>1498.731</v>
      </c>
    </row>
    <row r="29" spans="1:13" hidden="1" x14ac:dyDescent="0.25">
      <c r="A29" t="s">
        <v>30</v>
      </c>
      <c r="B29">
        <v>88588</v>
      </c>
      <c r="C29">
        <v>43388</v>
      </c>
      <c r="D29">
        <v>8040</v>
      </c>
      <c r="E29">
        <v>103</v>
      </c>
      <c r="G29">
        <v>110</v>
      </c>
      <c r="H29">
        <v>1320</v>
      </c>
      <c r="I29" s="27" t="str">
        <f>VLOOKUP(Table1[[#This Row],[Company ID]],MCompany[#All],2,FALSE)</f>
        <v>Bere Kleid</v>
      </c>
      <c r="J29" s="29" t="str">
        <f>VLOOKUP(Table1[[#This Row],[Customer code]],MCustomer[#All],2,FALSE)</f>
        <v>Werner Strauss</v>
      </c>
      <c r="K29" s="27" t="str">
        <f>VLOOKUP(Table1[[#This Row],[Article code]],MArticle[#All],2,FALSE)</f>
        <v>Women type T simple white</v>
      </c>
      <c r="L29" s="27" t="str">
        <f>VLOOKUP(Table1[[#This Row],[Company ID]],MCompany[#All],4,FALSE)</f>
        <v>Europe</v>
      </c>
      <c r="M29" s="28">
        <f>IF(Table1[[#This Row],[Region]]="Europe",VLOOKUP(MONTH(Table1[[#This Row],[Sales Document]]),MExchange[#All],2,FALSE),1)*Table1[[#This Row],[Sales Value]]</f>
        <v>1521.7884000000001</v>
      </c>
    </row>
    <row r="30" spans="1:13" hidden="1" x14ac:dyDescent="0.25">
      <c r="A30" t="s">
        <v>30</v>
      </c>
      <c r="B30">
        <v>88544</v>
      </c>
      <c r="C30">
        <v>43395</v>
      </c>
      <c r="D30">
        <v>8040</v>
      </c>
      <c r="E30">
        <v>107</v>
      </c>
      <c r="G30">
        <v>770</v>
      </c>
      <c r="H30">
        <v>3850</v>
      </c>
      <c r="I30" s="27" t="str">
        <f>VLOOKUP(Table1[[#This Row],[Company ID]],MCompany[#All],2,FALSE)</f>
        <v>Bere Kleid</v>
      </c>
      <c r="J30" s="29" t="str">
        <f>VLOOKUP(Table1[[#This Row],[Customer code]],MCustomer[#All],2,FALSE)</f>
        <v>Werner Strauss</v>
      </c>
      <c r="K30" s="27" t="str">
        <f>VLOOKUP(Table1[[#This Row],[Article code]],MArticle[#All],2,FALSE)</f>
        <v>Women basics</v>
      </c>
      <c r="L30" s="27" t="str">
        <f>VLOOKUP(Table1[[#This Row],[Company ID]],MCompany[#All],4,FALSE)</f>
        <v>Europe</v>
      </c>
      <c r="M30" s="28">
        <f>IF(Table1[[#This Row],[Region]]="Europe",VLOOKUP(MONTH(Table1[[#This Row],[Sales Document]]),MExchange[#All],2,FALSE),1)*Table1[[#This Row],[Sales Value]]</f>
        <v>4323.4383499999994</v>
      </c>
    </row>
    <row r="31" spans="1:13" hidden="1" x14ac:dyDescent="0.25">
      <c r="A31" t="s">
        <v>30</v>
      </c>
      <c r="B31">
        <v>88544</v>
      </c>
      <c r="C31">
        <v>43395</v>
      </c>
      <c r="D31">
        <v>8040</v>
      </c>
      <c r="E31">
        <v>120</v>
      </c>
      <c r="G31">
        <v>300</v>
      </c>
      <c r="H31">
        <v>17400</v>
      </c>
      <c r="I31" s="27" t="str">
        <f>VLOOKUP(Table1[[#This Row],[Company ID]],MCompany[#All],2,FALSE)</f>
        <v>Bere Kleid</v>
      </c>
      <c r="J31" s="29" t="str">
        <f>VLOOKUP(Table1[[#This Row],[Customer code]],MCustomer[#All],2,FALSE)</f>
        <v>Werner Strauss</v>
      </c>
      <c r="K31" s="27" t="str">
        <f>VLOOKUP(Table1[[#This Row],[Article code]],MArticle[#All],2,FALSE)</f>
        <v>Women evening dress Cocktail red</v>
      </c>
      <c r="L31" s="27" t="str">
        <f>VLOOKUP(Table1[[#This Row],[Company ID]],MCompany[#All],4,FALSE)</f>
        <v>Europe</v>
      </c>
      <c r="M31" s="28">
        <f>IF(Table1[[#This Row],[Region]]="Europe",VLOOKUP(MONTH(Table1[[#This Row],[Sales Document]]),MExchange[#All],2,FALSE),1)*Table1[[#This Row],[Sales Value]]</f>
        <v>19539.695400000001</v>
      </c>
    </row>
    <row r="32" spans="1:13" hidden="1" x14ac:dyDescent="0.25">
      <c r="A32" t="s">
        <v>30</v>
      </c>
      <c r="B32">
        <v>88666</v>
      </c>
      <c r="C32">
        <v>43399</v>
      </c>
      <c r="D32">
        <v>8030</v>
      </c>
      <c r="E32">
        <v>119</v>
      </c>
      <c r="G32">
        <v>330</v>
      </c>
      <c r="H32">
        <v>20460</v>
      </c>
      <c r="I32" s="27" t="str">
        <f>VLOOKUP(Table1[[#This Row],[Company ID]],MCompany[#All],2,FALSE)</f>
        <v>Bere Kleid</v>
      </c>
      <c r="J32" s="29" t="str">
        <f>VLOOKUP(Table1[[#This Row],[Customer code]],MCustomer[#All],2,FALSE)</f>
        <v>Edson</v>
      </c>
      <c r="K32" s="27" t="str">
        <f>VLOOKUP(Table1[[#This Row],[Article code]],MArticle[#All],2,FALSE)</f>
        <v>Women evening dress long black</v>
      </c>
      <c r="L32" s="27" t="str">
        <f>VLOOKUP(Table1[[#This Row],[Company ID]],MCompany[#All],4,FALSE)</f>
        <v>Europe</v>
      </c>
      <c r="M32" s="28">
        <f>IF(Table1[[#This Row],[Region]]="Europe",VLOOKUP(MONTH(Table1[[#This Row],[Sales Document]]),MExchange[#All],2,FALSE),1)*Table1[[#This Row],[Sales Value]]</f>
        <v>24039.251939999998</v>
      </c>
    </row>
    <row r="33" spans="1:13" hidden="1" x14ac:dyDescent="0.25">
      <c r="A33" t="s">
        <v>30</v>
      </c>
      <c r="B33">
        <v>88666</v>
      </c>
      <c r="C33">
        <v>43399</v>
      </c>
      <c r="D33">
        <v>8030</v>
      </c>
      <c r="E33">
        <v>107</v>
      </c>
      <c r="G33">
        <v>460</v>
      </c>
      <c r="H33">
        <v>2300</v>
      </c>
      <c r="I33" s="27" t="str">
        <f>VLOOKUP(Table1[[#This Row],[Company ID]],MCompany[#All],2,FALSE)</f>
        <v>Bere Kleid</v>
      </c>
      <c r="J33" s="29" t="str">
        <f>VLOOKUP(Table1[[#This Row],[Customer code]],MCustomer[#All],2,FALSE)</f>
        <v>Edson</v>
      </c>
      <c r="K33" s="27" t="str">
        <f>VLOOKUP(Table1[[#This Row],[Article code]],MArticle[#All],2,FALSE)</f>
        <v>Women basics</v>
      </c>
      <c r="L33" s="27" t="str">
        <f>VLOOKUP(Table1[[#This Row],[Company ID]],MCompany[#All],4,FALSE)</f>
        <v>Europe</v>
      </c>
      <c r="M33" s="28">
        <f>IF(Table1[[#This Row],[Region]]="Europe",VLOOKUP(MONTH(Table1[[#This Row],[Sales Document]]),MExchange[#All],2,FALSE),1)*Table1[[#This Row],[Sales Value]]</f>
        <v>2702.3597</v>
      </c>
    </row>
    <row r="34" spans="1:13" hidden="1" x14ac:dyDescent="0.25">
      <c r="A34" t="s">
        <v>30</v>
      </c>
      <c r="B34">
        <v>88666</v>
      </c>
      <c r="C34">
        <v>43399</v>
      </c>
      <c r="D34">
        <v>8030</v>
      </c>
      <c r="E34">
        <v>105</v>
      </c>
      <c r="F34">
        <v>1</v>
      </c>
      <c r="G34">
        <v>470</v>
      </c>
      <c r="H34">
        <v>4700</v>
      </c>
      <c r="I34" s="27" t="str">
        <f>VLOOKUP(Table1[[#This Row],[Company ID]],MCompany[#All],2,FALSE)</f>
        <v>Bere Kleid</v>
      </c>
      <c r="J34" s="29" t="str">
        <f>VLOOKUP(Table1[[#This Row],[Customer code]],MCustomer[#All],2,FALSE)</f>
        <v>Edson</v>
      </c>
      <c r="K34" s="27" t="str">
        <f>VLOOKUP(Table1[[#This Row],[Article code]],MArticle[#All],2,FALSE)</f>
        <v>Women crop top black</v>
      </c>
      <c r="L34" s="27" t="str">
        <f>VLOOKUP(Table1[[#This Row],[Company ID]],MCompany[#All],4,FALSE)</f>
        <v>Europe</v>
      </c>
      <c r="M34" s="28">
        <f>IF(Table1[[#This Row],[Region]]="Europe",VLOOKUP(MONTH(Table1[[#This Row],[Sales Document]]),MExchange[#All],2,FALSE),1)*Table1[[#This Row],[Sales Value]]</f>
        <v>5522.2132999999994</v>
      </c>
    </row>
    <row r="35" spans="1:13" hidden="1" x14ac:dyDescent="0.25">
      <c r="A35" t="s">
        <v>30</v>
      </c>
      <c r="B35">
        <v>88666</v>
      </c>
      <c r="C35">
        <v>43399</v>
      </c>
      <c r="D35">
        <v>8030</v>
      </c>
      <c r="E35">
        <v>115</v>
      </c>
      <c r="G35">
        <v>390</v>
      </c>
      <c r="H35">
        <v>2340</v>
      </c>
      <c r="I35" s="27" t="str">
        <f>VLOOKUP(Table1[[#This Row],[Company ID]],MCompany[#All],2,FALSE)</f>
        <v>Bere Kleid</v>
      </c>
      <c r="J35" s="29" t="str">
        <f>VLOOKUP(Table1[[#This Row],[Customer code]],MCustomer[#All],2,FALSE)</f>
        <v>Edson</v>
      </c>
      <c r="K35" s="27" t="str">
        <f>VLOOKUP(Table1[[#This Row],[Article code]],MArticle[#All],2,FALSE)</f>
        <v>Unisex tank top black</v>
      </c>
      <c r="L35" s="27" t="str">
        <f>VLOOKUP(Table1[[#This Row],[Company ID]],MCompany[#All],4,FALSE)</f>
        <v>Europe</v>
      </c>
      <c r="M35" s="28">
        <f>IF(Table1[[#This Row],[Region]]="Europe",VLOOKUP(MONTH(Table1[[#This Row],[Sales Document]]),MExchange[#All],2,FALSE),1)*Table1[[#This Row],[Sales Value]]</f>
        <v>2749.3572599999998</v>
      </c>
    </row>
    <row r="36" spans="1:13" hidden="1" x14ac:dyDescent="0.25">
      <c r="A36" t="s">
        <v>30</v>
      </c>
      <c r="B36">
        <v>88666</v>
      </c>
      <c r="C36">
        <v>43399</v>
      </c>
      <c r="D36">
        <v>8030</v>
      </c>
      <c r="E36">
        <v>116</v>
      </c>
      <c r="G36">
        <v>260</v>
      </c>
      <c r="H36">
        <v>1560</v>
      </c>
      <c r="I36" s="27" t="str">
        <f>VLOOKUP(Table1[[#This Row],[Company ID]],MCompany[#All],2,FALSE)</f>
        <v>Bere Kleid</v>
      </c>
      <c r="J36" s="29" t="str">
        <f>VLOOKUP(Table1[[#This Row],[Customer code]],MCustomer[#All],2,FALSE)</f>
        <v>Edson</v>
      </c>
      <c r="K36" s="27" t="str">
        <f>VLOOKUP(Table1[[#This Row],[Article code]],MArticle[#All],2,FALSE)</f>
        <v>Unisex tank top white</v>
      </c>
      <c r="L36" s="27" t="str">
        <f>VLOOKUP(Table1[[#This Row],[Company ID]],MCompany[#All],4,FALSE)</f>
        <v>Europe</v>
      </c>
      <c r="M36" s="28">
        <f>IF(Table1[[#This Row],[Region]]="Europe",VLOOKUP(MONTH(Table1[[#This Row],[Sales Document]]),MExchange[#All],2,FALSE),1)*Table1[[#This Row],[Sales Value]]</f>
        <v>1832.9048399999999</v>
      </c>
    </row>
    <row r="37" spans="1:13" hidden="1" x14ac:dyDescent="0.25">
      <c r="A37" t="s">
        <v>31</v>
      </c>
      <c r="B37">
        <v>44030</v>
      </c>
      <c r="C37">
        <v>43377</v>
      </c>
      <c r="D37">
        <v>8060</v>
      </c>
      <c r="E37">
        <v>108</v>
      </c>
      <c r="F37" t="s">
        <v>93</v>
      </c>
      <c r="G37">
        <v>60</v>
      </c>
      <c r="H37">
        <v>1680</v>
      </c>
      <c r="I37" s="27" t="str">
        <f>VLOOKUP(Table1[[#This Row],[Company ID]],MCompany[#All],2,FALSE)</f>
        <v>Lucas Basics</v>
      </c>
      <c r="J37" s="29" t="str">
        <f>VLOOKUP(Table1[[#This Row],[Customer code]],MCustomer[#All],2,FALSE)</f>
        <v>Liebher</v>
      </c>
      <c r="K37" s="27" t="str">
        <f>VLOOKUP(Table1[[#This Row],[Article code]],MArticle[#All],2,FALSE)</f>
        <v>Laptop bag black</v>
      </c>
      <c r="L37" s="27" t="str">
        <f>VLOOKUP(Table1[[#This Row],[Company ID]],MCompany[#All],4,FALSE)</f>
        <v>Europe</v>
      </c>
      <c r="M37" s="28">
        <f>IF(Table1[[#This Row],[Region]]="Europe",VLOOKUP(MONTH(Table1[[#This Row],[Sales Document]]),MExchange[#All],2,FALSE),1)*Table1[[#This Row],[Sales Value]]</f>
        <v>1936.8216000000002</v>
      </c>
    </row>
    <row r="38" spans="1:13" hidden="1" x14ac:dyDescent="0.25">
      <c r="A38" t="s">
        <v>31</v>
      </c>
      <c r="B38">
        <v>44030</v>
      </c>
      <c r="C38">
        <v>43377</v>
      </c>
      <c r="D38">
        <v>8060</v>
      </c>
      <c r="E38">
        <v>109</v>
      </c>
      <c r="F38">
        <v>1</v>
      </c>
      <c r="G38">
        <v>60</v>
      </c>
      <c r="H38">
        <v>1680</v>
      </c>
      <c r="I38" s="27" t="str">
        <f>VLOOKUP(Table1[[#This Row],[Company ID]],MCompany[#All],2,FALSE)</f>
        <v>Lucas Basics</v>
      </c>
      <c r="J38" s="29" t="str">
        <f>VLOOKUP(Table1[[#This Row],[Customer code]],MCustomer[#All],2,FALSE)</f>
        <v>Liebher</v>
      </c>
      <c r="K38" s="27" t="str">
        <f>VLOOKUP(Table1[[#This Row],[Article code]],MArticle[#All],2,FALSE)</f>
        <v>Laptop bag red</v>
      </c>
      <c r="L38" s="27" t="str">
        <f>VLOOKUP(Table1[[#This Row],[Company ID]],MCompany[#All],4,FALSE)</f>
        <v>Europe</v>
      </c>
      <c r="M38" s="28">
        <f>IF(Table1[[#This Row],[Region]]="Europe",VLOOKUP(MONTH(Table1[[#This Row],[Sales Document]]),MExchange[#All],2,FALSE),1)*Table1[[#This Row],[Sales Value]]</f>
        <v>1936.8216000000002</v>
      </c>
    </row>
    <row r="39" spans="1:13" hidden="1" x14ac:dyDescent="0.25">
      <c r="A39" t="s">
        <v>31</v>
      </c>
      <c r="B39">
        <v>44032</v>
      </c>
      <c r="C39">
        <v>43380</v>
      </c>
      <c r="D39">
        <v>8060</v>
      </c>
      <c r="E39">
        <v>108</v>
      </c>
      <c r="F39" t="s">
        <v>93</v>
      </c>
      <c r="G39">
        <v>60</v>
      </c>
      <c r="H39">
        <v>1680</v>
      </c>
      <c r="I39" s="27" t="str">
        <f>VLOOKUP(Table1[[#This Row],[Company ID]],MCompany[#All],2,FALSE)</f>
        <v>Lucas Basics</v>
      </c>
      <c r="J39" s="29" t="str">
        <f>VLOOKUP(Table1[[#This Row],[Customer code]],MCustomer[#All],2,FALSE)</f>
        <v>Liebher</v>
      </c>
      <c r="K39" s="27" t="str">
        <f>VLOOKUP(Table1[[#This Row],[Article code]],MArticle[#All],2,FALSE)</f>
        <v>Laptop bag black</v>
      </c>
      <c r="L39" s="27" t="str">
        <f>VLOOKUP(Table1[[#This Row],[Company ID]],MCompany[#All],4,FALSE)</f>
        <v>Europe</v>
      </c>
      <c r="M39" s="28">
        <f>IF(Table1[[#This Row],[Region]]="Europe",VLOOKUP(MONTH(Table1[[#This Row],[Sales Document]]),MExchange[#All],2,FALSE),1)*Table1[[#This Row],[Sales Value]]</f>
        <v>1936.8216000000002</v>
      </c>
    </row>
    <row r="40" spans="1:13" hidden="1" x14ac:dyDescent="0.25">
      <c r="A40" t="s">
        <v>31</v>
      </c>
      <c r="B40">
        <v>44032</v>
      </c>
      <c r="C40">
        <v>43380</v>
      </c>
      <c r="D40">
        <v>8060</v>
      </c>
      <c r="E40">
        <v>109</v>
      </c>
      <c r="G40">
        <v>70</v>
      </c>
      <c r="H40">
        <v>1960</v>
      </c>
      <c r="I40" s="27" t="str">
        <f>VLOOKUP(Table1[[#This Row],[Company ID]],MCompany[#All],2,FALSE)</f>
        <v>Lucas Basics</v>
      </c>
      <c r="J40" s="29" t="str">
        <f>VLOOKUP(Table1[[#This Row],[Customer code]],MCustomer[#All],2,FALSE)</f>
        <v>Liebher</v>
      </c>
      <c r="K40" s="27" t="str">
        <f>VLOOKUP(Table1[[#This Row],[Article code]],MArticle[#All],2,FALSE)</f>
        <v>Laptop bag red</v>
      </c>
      <c r="L40" s="27" t="str">
        <f>VLOOKUP(Table1[[#This Row],[Company ID]],MCompany[#All],4,FALSE)</f>
        <v>Europe</v>
      </c>
      <c r="M40" s="28">
        <f>IF(Table1[[#This Row],[Region]]="Europe",VLOOKUP(MONTH(Table1[[#This Row],[Sales Document]]),MExchange[#All],2,FALSE),1)*Table1[[#This Row],[Sales Value]]</f>
        <v>2259.6251999999999</v>
      </c>
    </row>
    <row r="41" spans="1:13" hidden="1" x14ac:dyDescent="0.25">
      <c r="A41" t="s">
        <v>31</v>
      </c>
      <c r="B41">
        <v>44031</v>
      </c>
      <c r="C41">
        <v>43381</v>
      </c>
      <c r="D41">
        <v>8050</v>
      </c>
      <c r="E41">
        <v>108</v>
      </c>
      <c r="F41" t="s">
        <v>93</v>
      </c>
      <c r="G41">
        <v>60</v>
      </c>
      <c r="H41">
        <v>1680</v>
      </c>
      <c r="I41" s="27" t="str">
        <f>VLOOKUP(Table1[[#This Row],[Company ID]],MCompany[#All],2,FALSE)</f>
        <v>Lucas Basics</v>
      </c>
      <c r="J41" s="29" t="str">
        <f>VLOOKUP(Table1[[#This Row],[Customer code]],MCustomer[#All],2,FALSE)</f>
        <v>Aida GmbH</v>
      </c>
      <c r="K41" s="27" t="str">
        <f>VLOOKUP(Table1[[#This Row],[Article code]],MArticle[#All],2,FALSE)</f>
        <v>Laptop bag black</v>
      </c>
      <c r="L41" s="27" t="str">
        <f>VLOOKUP(Table1[[#This Row],[Company ID]],MCompany[#All],4,FALSE)</f>
        <v>Europe</v>
      </c>
      <c r="M41" s="28">
        <f>IF(Table1[[#This Row],[Region]]="Europe",VLOOKUP(MONTH(Table1[[#This Row],[Sales Document]]),MExchange[#All],2,FALSE),1)*Table1[[#This Row],[Sales Value]]</f>
        <v>1936.8216000000002</v>
      </c>
    </row>
    <row r="42" spans="1:13" hidden="1" x14ac:dyDescent="0.25">
      <c r="A42" t="s">
        <v>31</v>
      </c>
      <c r="B42">
        <v>44031</v>
      </c>
      <c r="C42">
        <v>43381</v>
      </c>
      <c r="D42">
        <v>8050</v>
      </c>
      <c r="E42">
        <v>109</v>
      </c>
      <c r="F42" t="s">
        <v>93</v>
      </c>
      <c r="G42">
        <v>50</v>
      </c>
      <c r="H42">
        <v>1400</v>
      </c>
      <c r="I42" s="27" t="str">
        <f>VLOOKUP(Table1[[#This Row],[Company ID]],MCompany[#All],2,FALSE)</f>
        <v>Lucas Basics</v>
      </c>
      <c r="J42" s="29" t="str">
        <f>VLOOKUP(Table1[[#This Row],[Customer code]],MCustomer[#All],2,FALSE)</f>
        <v>Aida GmbH</v>
      </c>
      <c r="K42" s="27" t="str">
        <f>VLOOKUP(Table1[[#This Row],[Article code]],MArticle[#All],2,FALSE)</f>
        <v>Laptop bag red</v>
      </c>
      <c r="L42" s="27" t="str">
        <f>VLOOKUP(Table1[[#This Row],[Company ID]],MCompany[#All],4,FALSE)</f>
        <v>Europe</v>
      </c>
      <c r="M42" s="28">
        <f>IF(Table1[[#This Row],[Region]]="Europe",VLOOKUP(MONTH(Table1[[#This Row],[Sales Document]]),MExchange[#All],2,FALSE),1)*Table1[[#This Row],[Sales Value]]</f>
        <v>1614.018</v>
      </c>
    </row>
    <row r="43" spans="1:13" hidden="1" x14ac:dyDescent="0.25">
      <c r="A43" t="s">
        <v>31</v>
      </c>
      <c r="B43">
        <v>44031</v>
      </c>
      <c r="C43">
        <v>43381</v>
      </c>
      <c r="D43">
        <v>8050</v>
      </c>
      <c r="E43">
        <v>110</v>
      </c>
      <c r="F43" t="s">
        <v>93</v>
      </c>
      <c r="G43">
        <v>60</v>
      </c>
      <c r="H43">
        <v>3600</v>
      </c>
      <c r="I43" s="27" t="str">
        <f>VLOOKUP(Table1[[#This Row],[Company ID]],MCompany[#All],2,FALSE)</f>
        <v>Lucas Basics</v>
      </c>
      <c r="J43" s="29" t="str">
        <f>VLOOKUP(Table1[[#This Row],[Customer code]],MCustomer[#All],2,FALSE)</f>
        <v>Aida GmbH</v>
      </c>
      <c r="K43" s="27" t="str">
        <f>VLOOKUP(Table1[[#This Row],[Article code]],MArticle[#All],2,FALSE)</f>
        <v>Smartphone case diamond</v>
      </c>
      <c r="L43" s="27" t="str">
        <f>VLOOKUP(Table1[[#This Row],[Company ID]],MCompany[#All],4,FALSE)</f>
        <v>Europe</v>
      </c>
      <c r="M43" s="28">
        <f>IF(Table1[[#This Row],[Region]]="Europe",VLOOKUP(MONTH(Table1[[#This Row],[Sales Document]]),MExchange[#All],2,FALSE),1)*Table1[[#This Row],[Sales Value]]</f>
        <v>4150.3320000000003</v>
      </c>
    </row>
    <row r="44" spans="1:13" hidden="1" x14ac:dyDescent="0.25">
      <c r="A44" t="s">
        <v>31</v>
      </c>
      <c r="B44">
        <v>48112</v>
      </c>
      <c r="C44">
        <v>43384</v>
      </c>
      <c r="D44">
        <v>8060</v>
      </c>
      <c r="E44">
        <v>109</v>
      </c>
      <c r="G44">
        <v>60</v>
      </c>
      <c r="H44">
        <v>1680</v>
      </c>
      <c r="I44" s="27" t="str">
        <f>VLOOKUP(Table1[[#This Row],[Company ID]],MCompany[#All],2,FALSE)</f>
        <v>Lucas Basics</v>
      </c>
      <c r="J44" s="29" t="str">
        <f>VLOOKUP(Table1[[#This Row],[Customer code]],MCustomer[#All],2,FALSE)</f>
        <v>Liebher</v>
      </c>
      <c r="K44" s="27" t="str">
        <f>VLOOKUP(Table1[[#This Row],[Article code]],MArticle[#All],2,FALSE)</f>
        <v>Laptop bag red</v>
      </c>
      <c r="L44" s="27" t="str">
        <f>VLOOKUP(Table1[[#This Row],[Company ID]],MCompany[#All],4,FALSE)</f>
        <v>Europe</v>
      </c>
      <c r="M44" s="28">
        <f>IF(Table1[[#This Row],[Region]]="Europe",VLOOKUP(MONTH(Table1[[#This Row],[Sales Document]]),MExchange[#All],2,FALSE),1)*Table1[[#This Row],[Sales Value]]</f>
        <v>2001.2983200000001</v>
      </c>
    </row>
    <row r="45" spans="1:13" hidden="1" x14ac:dyDescent="0.25">
      <c r="A45" t="s">
        <v>31</v>
      </c>
      <c r="B45">
        <v>48112</v>
      </c>
      <c r="C45">
        <v>43384</v>
      </c>
      <c r="D45">
        <v>8060</v>
      </c>
      <c r="E45">
        <v>110</v>
      </c>
      <c r="F45" t="s">
        <v>93</v>
      </c>
      <c r="G45">
        <v>50</v>
      </c>
      <c r="H45">
        <v>3000</v>
      </c>
      <c r="I45" s="27" t="str">
        <f>VLOOKUP(Table1[[#This Row],[Company ID]],MCompany[#All],2,FALSE)</f>
        <v>Lucas Basics</v>
      </c>
      <c r="J45" s="29" t="str">
        <f>VLOOKUP(Table1[[#This Row],[Customer code]],MCustomer[#All],2,FALSE)</f>
        <v>Liebher</v>
      </c>
      <c r="K45" s="27" t="str">
        <f>VLOOKUP(Table1[[#This Row],[Article code]],MArticle[#All],2,FALSE)</f>
        <v>Smartphone case diamond</v>
      </c>
      <c r="L45" s="27" t="str">
        <f>VLOOKUP(Table1[[#This Row],[Company ID]],MCompany[#All],4,FALSE)</f>
        <v>Europe</v>
      </c>
      <c r="M45" s="28">
        <f>IF(Table1[[#This Row],[Region]]="Europe",VLOOKUP(MONTH(Table1[[#This Row],[Sales Document]]),MExchange[#All],2,FALSE),1)*Table1[[#This Row],[Sales Value]]</f>
        <v>3573.7469999999998</v>
      </c>
    </row>
    <row r="46" spans="1:13" hidden="1" x14ac:dyDescent="0.25">
      <c r="A46" t="s">
        <v>31</v>
      </c>
      <c r="B46">
        <v>48114</v>
      </c>
      <c r="C46">
        <v>43384</v>
      </c>
      <c r="D46">
        <v>8050</v>
      </c>
      <c r="E46">
        <v>109</v>
      </c>
      <c r="G46">
        <v>60</v>
      </c>
      <c r="H46">
        <v>1680</v>
      </c>
      <c r="I46" s="27" t="str">
        <f>VLOOKUP(Table1[[#This Row],[Company ID]],MCompany[#All],2,FALSE)</f>
        <v>Lucas Basics</v>
      </c>
      <c r="J46" s="29" t="str">
        <f>VLOOKUP(Table1[[#This Row],[Customer code]],MCustomer[#All],2,FALSE)</f>
        <v>Aida GmbH</v>
      </c>
      <c r="K46" s="27" t="str">
        <f>VLOOKUP(Table1[[#This Row],[Article code]],MArticle[#All],2,FALSE)</f>
        <v>Laptop bag red</v>
      </c>
      <c r="L46" s="27" t="str">
        <f>VLOOKUP(Table1[[#This Row],[Company ID]],MCompany[#All],4,FALSE)</f>
        <v>Europe</v>
      </c>
      <c r="M46" s="28">
        <f>IF(Table1[[#This Row],[Region]]="Europe",VLOOKUP(MONTH(Table1[[#This Row],[Sales Document]]),MExchange[#All],2,FALSE),1)*Table1[[#This Row],[Sales Value]]</f>
        <v>2001.2983200000001</v>
      </c>
    </row>
    <row r="47" spans="1:13" hidden="1" x14ac:dyDescent="0.25">
      <c r="A47" t="s">
        <v>31</v>
      </c>
      <c r="B47">
        <v>48114</v>
      </c>
      <c r="C47">
        <v>43384</v>
      </c>
      <c r="D47">
        <v>8050</v>
      </c>
      <c r="E47">
        <v>110</v>
      </c>
      <c r="G47">
        <v>60</v>
      </c>
      <c r="H47">
        <v>3600</v>
      </c>
      <c r="I47" s="27" t="str">
        <f>VLOOKUP(Table1[[#This Row],[Company ID]],MCompany[#All],2,FALSE)</f>
        <v>Lucas Basics</v>
      </c>
      <c r="J47" s="29" t="str">
        <f>VLOOKUP(Table1[[#This Row],[Customer code]],MCustomer[#All],2,FALSE)</f>
        <v>Aida GmbH</v>
      </c>
      <c r="K47" s="27" t="str">
        <f>VLOOKUP(Table1[[#This Row],[Article code]],MArticle[#All],2,FALSE)</f>
        <v>Smartphone case diamond</v>
      </c>
      <c r="L47" s="27" t="str">
        <f>VLOOKUP(Table1[[#This Row],[Company ID]],MCompany[#All],4,FALSE)</f>
        <v>Europe</v>
      </c>
      <c r="M47" s="28">
        <f>IF(Table1[[#This Row],[Region]]="Europe",VLOOKUP(MONTH(Table1[[#This Row],[Sales Document]]),MExchange[#All],2,FALSE),1)*Table1[[#This Row],[Sales Value]]</f>
        <v>4288.4964</v>
      </c>
    </row>
    <row r="48" spans="1:13" hidden="1" x14ac:dyDescent="0.25">
      <c r="A48" t="s">
        <v>31</v>
      </c>
      <c r="B48">
        <v>48114</v>
      </c>
      <c r="C48">
        <v>43384</v>
      </c>
      <c r="D48">
        <v>8050</v>
      </c>
      <c r="E48">
        <v>111</v>
      </c>
      <c r="G48">
        <v>80</v>
      </c>
      <c r="H48">
        <v>1600</v>
      </c>
      <c r="I48" s="27" t="str">
        <f>VLOOKUP(Table1[[#This Row],[Company ID]],MCompany[#All],2,FALSE)</f>
        <v>Lucas Basics</v>
      </c>
      <c r="J48" s="29" t="str">
        <f>VLOOKUP(Table1[[#This Row],[Customer code]],MCustomer[#All],2,FALSE)</f>
        <v>Aida GmbH</v>
      </c>
      <c r="K48" s="27" t="str">
        <f>VLOOKUP(Table1[[#This Row],[Article code]],MArticle[#All],2,FALSE)</f>
        <v>Smartphone case simple</v>
      </c>
      <c r="L48" s="27" t="str">
        <f>VLOOKUP(Table1[[#This Row],[Company ID]],MCompany[#All],4,FALSE)</f>
        <v>Europe</v>
      </c>
      <c r="M48" s="28">
        <f>IF(Table1[[#This Row],[Region]]="Europe",VLOOKUP(MONTH(Table1[[#This Row],[Sales Document]]),MExchange[#All],2,FALSE),1)*Table1[[#This Row],[Sales Value]]</f>
        <v>1905.9983999999999</v>
      </c>
    </row>
    <row r="49" spans="1:13" hidden="1" x14ac:dyDescent="0.25">
      <c r="A49" t="s">
        <v>31</v>
      </c>
      <c r="B49">
        <v>48116</v>
      </c>
      <c r="C49">
        <v>43384</v>
      </c>
      <c r="D49">
        <v>8060</v>
      </c>
      <c r="E49">
        <v>109</v>
      </c>
      <c r="G49">
        <v>60</v>
      </c>
      <c r="H49">
        <v>1680</v>
      </c>
      <c r="I49" s="27" t="str">
        <f>VLOOKUP(Table1[[#This Row],[Company ID]],MCompany[#All],2,FALSE)</f>
        <v>Lucas Basics</v>
      </c>
      <c r="J49" s="29" t="str">
        <f>VLOOKUP(Table1[[#This Row],[Customer code]],MCustomer[#All],2,FALSE)</f>
        <v>Liebher</v>
      </c>
      <c r="K49" s="27" t="str">
        <f>VLOOKUP(Table1[[#This Row],[Article code]],MArticle[#All],2,FALSE)</f>
        <v>Laptop bag red</v>
      </c>
      <c r="L49" s="27" t="str">
        <f>VLOOKUP(Table1[[#This Row],[Company ID]],MCompany[#All],4,FALSE)</f>
        <v>Europe</v>
      </c>
      <c r="M49" s="28">
        <f>IF(Table1[[#This Row],[Region]]="Europe",VLOOKUP(MONTH(Table1[[#This Row],[Sales Document]]),MExchange[#All],2,FALSE),1)*Table1[[#This Row],[Sales Value]]</f>
        <v>2001.2983200000001</v>
      </c>
    </row>
    <row r="50" spans="1:13" hidden="1" x14ac:dyDescent="0.25">
      <c r="A50" t="s">
        <v>31</v>
      </c>
      <c r="B50">
        <v>48116</v>
      </c>
      <c r="C50">
        <v>43384</v>
      </c>
      <c r="D50">
        <v>8060</v>
      </c>
      <c r="E50">
        <v>110</v>
      </c>
      <c r="G50">
        <v>60</v>
      </c>
      <c r="H50">
        <v>3600</v>
      </c>
      <c r="I50" s="27" t="str">
        <f>VLOOKUP(Table1[[#This Row],[Company ID]],MCompany[#All],2,FALSE)</f>
        <v>Lucas Basics</v>
      </c>
      <c r="J50" s="29" t="str">
        <f>VLOOKUP(Table1[[#This Row],[Customer code]],MCustomer[#All],2,FALSE)</f>
        <v>Liebher</v>
      </c>
      <c r="K50" s="27" t="str">
        <f>VLOOKUP(Table1[[#This Row],[Article code]],MArticle[#All],2,FALSE)</f>
        <v>Smartphone case diamond</v>
      </c>
      <c r="L50" s="27" t="str">
        <f>VLOOKUP(Table1[[#This Row],[Company ID]],MCompany[#All],4,FALSE)</f>
        <v>Europe</v>
      </c>
      <c r="M50" s="28">
        <f>IF(Table1[[#This Row],[Region]]="Europe",VLOOKUP(MONTH(Table1[[#This Row],[Sales Document]]),MExchange[#All],2,FALSE),1)*Table1[[#This Row],[Sales Value]]</f>
        <v>4288.4964</v>
      </c>
    </row>
    <row r="51" spans="1:13" hidden="1" x14ac:dyDescent="0.25">
      <c r="A51" t="s">
        <v>31</v>
      </c>
      <c r="B51">
        <v>45442</v>
      </c>
      <c r="C51">
        <v>43388</v>
      </c>
      <c r="D51">
        <v>8050</v>
      </c>
      <c r="E51">
        <v>108</v>
      </c>
      <c r="G51">
        <v>50</v>
      </c>
      <c r="H51">
        <v>1400</v>
      </c>
      <c r="I51" s="27" t="str">
        <f>VLOOKUP(Table1[[#This Row],[Company ID]],MCompany[#All],2,FALSE)</f>
        <v>Lucas Basics</v>
      </c>
      <c r="J51" s="29" t="str">
        <f>VLOOKUP(Table1[[#This Row],[Customer code]],MCustomer[#All],2,FALSE)</f>
        <v>Aida GmbH</v>
      </c>
      <c r="K51" s="27" t="str">
        <f>VLOOKUP(Table1[[#This Row],[Article code]],MArticle[#All],2,FALSE)</f>
        <v>Laptop bag black</v>
      </c>
      <c r="L51" s="27" t="str">
        <f>VLOOKUP(Table1[[#This Row],[Company ID]],MCompany[#All],4,FALSE)</f>
        <v>Europe</v>
      </c>
      <c r="M51" s="28">
        <f>IF(Table1[[#This Row],[Region]]="Europe",VLOOKUP(MONTH(Table1[[#This Row],[Sales Document]]),MExchange[#All],2,FALSE),1)*Table1[[#This Row],[Sales Value]]</f>
        <v>1548.5568000000001</v>
      </c>
    </row>
    <row r="52" spans="1:13" hidden="1" x14ac:dyDescent="0.25">
      <c r="A52" t="s">
        <v>31</v>
      </c>
      <c r="B52">
        <v>45442</v>
      </c>
      <c r="C52">
        <v>43388</v>
      </c>
      <c r="D52">
        <v>8050</v>
      </c>
      <c r="E52">
        <v>109</v>
      </c>
      <c r="F52">
        <v>1</v>
      </c>
      <c r="G52">
        <v>60</v>
      </c>
      <c r="H52">
        <v>1680</v>
      </c>
      <c r="I52" s="27" t="str">
        <f>VLOOKUP(Table1[[#This Row],[Company ID]],MCompany[#All],2,FALSE)</f>
        <v>Lucas Basics</v>
      </c>
      <c r="J52" s="29" t="str">
        <f>VLOOKUP(Table1[[#This Row],[Customer code]],MCustomer[#All],2,FALSE)</f>
        <v>Aida GmbH</v>
      </c>
      <c r="K52" s="27" t="str">
        <f>VLOOKUP(Table1[[#This Row],[Article code]],MArticle[#All],2,FALSE)</f>
        <v>Laptop bag red</v>
      </c>
      <c r="L52" s="27" t="str">
        <f>VLOOKUP(Table1[[#This Row],[Company ID]],MCompany[#All],4,FALSE)</f>
        <v>Europe</v>
      </c>
      <c r="M52" s="28">
        <f>IF(Table1[[#This Row],[Region]]="Europe",VLOOKUP(MONTH(Table1[[#This Row],[Sales Document]]),MExchange[#All],2,FALSE),1)*Table1[[#This Row],[Sales Value]]</f>
        <v>1858.2681600000001</v>
      </c>
    </row>
    <row r="53" spans="1:13" hidden="1" x14ac:dyDescent="0.25">
      <c r="A53" t="s">
        <v>31</v>
      </c>
      <c r="B53">
        <v>45444</v>
      </c>
      <c r="C53">
        <v>43388</v>
      </c>
      <c r="D53">
        <v>8060</v>
      </c>
      <c r="E53">
        <v>108</v>
      </c>
      <c r="G53">
        <v>60</v>
      </c>
      <c r="H53">
        <v>1680</v>
      </c>
      <c r="I53" s="27" t="str">
        <f>VLOOKUP(Table1[[#This Row],[Company ID]],MCompany[#All],2,FALSE)</f>
        <v>Lucas Basics</v>
      </c>
      <c r="J53" s="29" t="str">
        <f>VLOOKUP(Table1[[#This Row],[Customer code]],MCustomer[#All],2,FALSE)</f>
        <v>Liebher</v>
      </c>
      <c r="K53" s="27" t="str">
        <f>VLOOKUP(Table1[[#This Row],[Article code]],MArticle[#All],2,FALSE)</f>
        <v>Laptop bag black</v>
      </c>
      <c r="L53" s="27" t="str">
        <f>VLOOKUP(Table1[[#This Row],[Company ID]],MCompany[#All],4,FALSE)</f>
        <v>Europe</v>
      </c>
      <c r="M53" s="28">
        <f>IF(Table1[[#This Row],[Region]]="Europe",VLOOKUP(MONTH(Table1[[#This Row],[Sales Document]]),MExchange[#All],2,FALSE),1)*Table1[[#This Row],[Sales Value]]</f>
        <v>1886.5912799999999</v>
      </c>
    </row>
    <row r="54" spans="1:13" hidden="1" x14ac:dyDescent="0.25">
      <c r="A54" t="s">
        <v>31</v>
      </c>
      <c r="B54">
        <v>45444</v>
      </c>
      <c r="C54">
        <v>43388</v>
      </c>
      <c r="D54">
        <v>8060</v>
      </c>
      <c r="E54">
        <v>109</v>
      </c>
      <c r="G54">
        <v>70</v>
      </c>
      <c r="H54">
        <v>1960</v>
      </c>
      <c r="I54" s="27" t="str">
        <f>VLOOKUP(Table1[[#This Row],[Company ID]],MCompany[#All],2,FALSE)</f>
        <v>Lucas Basics</v>
      </c>
      <c r="J54" s="29" t="str">
        <f>VLOOKUP(Table1[[#This Row],[Customer code]],MCustomer[#All],2,FALSE)</f>
        <v>Liebher</v>
      </c>
      <c r="K54" s="27" t="str">
        <f>VLOOKUP(Table1[[#This Row],[Article code]],MArticle[#All],2,FALSE)</f>
        <v>Laptop bag red</v>
      </c>
      <c r="L54" s="27" t="str">
        <f>VLOOKUP(Table1[[#This Row],[Company ID]],MCompany[#All],4,FALSE)</f>
        <v>Europe</v>
      </c>
      <c r="M54" s="28">
        <f>IF(Table1[[#This Row],[Region]]="Europe",VLOOKUP(MONTH(Table1[[#This Row],[Sales Document]]),MExchange[#All],2,FALSE),1)*Table1[[#This Row],[Sales Value]]</f>
        <v>2201.0231599999997</v>
      </c>
    </row>
    <row r="55" spans="1:13" hidden="1" x14ac:dyDescent="0.25">
      <c r="A55" t="s">
        <v>31</v>
      </c>
      <c r="B55">
        <v>45444</v>
      </c>
      <c r="C55">
        <v>43388</v>
      </c>
      <c r="D55">
        <v>8060</v>
      </c>
      <c r="E55">
        <v>110</v>
      </c>
      <c r="G55">
        <v>60</v>
      </c>
      <c r="H55">
        <v>3600</v>
      </c>
      <c r="I55" s="27" t="str">
        <f>VLOOKUP(Table1[[#This Row],[Company ID]],MCompany[#All],2,FALSE)</f>
        <v>Lucas Basics</v>
      </c>
      <c r="J55" s="29" t="str">
        <f>VLOOKUP(Table1[[#This Row],[Customer code]],MCustomer[#All],2,FALSE)</f>
        <v>Liebher</v>
      </c>
      <c r="K55" s="27" t="str">
        <f>VLOOKUP(Table1[[#This Row],[Article code]],MArticle[#All],2,FALSE)</f>
        <v>Smartphone case diamond</v>
      </c>
      <c r="L55" s="27" t="str">
        <f>VLOOKUP(Table1[[#This Row],[Company ID]],MCompany[#All],4,FALSE)</f>
        <v>Europe</v>
      </c>
      <c r="M55" s="28">
        <f>IF(Table1[[#This Row],[Region]]="Europe",VLOOKUP(MONTH(Table1[[#This Row],[Sales Document]]),MExchange[#All],2,FALSE),1)*Table1[[#This Row],[Sales Value]]</f>
        <v>4042.6956</v>
      </c>
    </row>
    <row r="56" spans="1:13" hidden="1" x14ac:dyDescent="0.25">
      <c r="A56" t="s">
        <v>31</v>
      </c>
      <c r="B56">
        <v>45446</v>
      </c>
      <c r="C56">
        <v>43388</v>
      </c>
      <c r="D56">
        <v>8050</v>
      </c>
      <c r="E56">
        <v>111</v>
      </c>
      <c r="G56">
        <v>80</v>
      </c>
      <c r="H56">
        <v>1600</v>
      </c>
      <c r="I56" s="27" t="str">
        <f>VLOOKUP(Table1[[#This Row],[Company ID]],MCompany[#All],2,FALSE)</f>
        <v>Lucas Basics</v>
      </c>
      <c r="J56" s="29" t="str">
        <f>VLOOKUP(Table1[[#This Row],[Customer code]],MCustomer[#All],2,FALSE)</f>
        <v>Aida GmbH</v>
      </c>
      <c r="K56" s="27" t="str">
        <f>VLOOKUP(Table1[[#This Row],[Article code]],MArticle[#All],2,FALSE)</f>
        <v>Smartphone case simple</v>
      </c>
      <c r="L56" s="27" t="str">
        <f>VLOOKUP(Table1[[#This Row],[Company ID]],MCompany[#All],4,FALSE)</f>
        <v>Europe</v>
      </c>
      <c r="M56" s="28">
        <f>IF(Table1[[#This Row],[Region]]="Europe",VLOOKUP(MONTH(Table1[[#This Row],[Sales Document]]),MExchange[#All],2,FALSE),1)*Table1[[#This Row],[Sales Value]]</f>
        <v>1796.7536</v>
      </c>
    </row>
    <row r="57" spans="1:13" hidden="1" x14ac:dyDescent="0.25">
      <c r="A57" t="s">
        <v>31</v>
      </c>
      <c r="B57">
        <v>45446</v>
      </c>
      <c r="C57">
        <v>43388</v>
      </c>
      <c r="D57">
        <v>8050</v>
      </c>
      <c r="E57">
        <v>108</v>
      </c>
      <c r="G57">
        <v>50</v>
      </c>
      <c r="H57">
        <v>1400</v>
      </c>
      <c r="I57" s="27" t="str">
        <f>VLOOKUP(Table1[[#This Row],[Company ID]],MCompany[#All],2,FALSE)</f>
        <v>Lucas Basics</v>
      </c>
      <c r="J57" s="29" t="str">
        <f>VLOOKUP(Table1[[#This Row],[Customer code]],MCustomer[#All],2,FALSE)</f>
        <v>Aida GmbH</v>
      </c>
      <c r="K57" s="27" t="str">
        <f>VLOOKUP(Table1[[#This Row],[Article code]],MArticle[#All],2,FALSE)</f>
        <v>Laptop bag black</v>
      </c>
      <c r="L57" s="27" t="str">
        <f>VLOOKUP(Table1[[#This Row],[Company ID]],MCompany[#All],4,FALSE)</f>
        <v>Europe</v>
      </c>
      <c r="M57" s="28">
        <f>IF(Table1[[#This Row],[Region]]="Europe",VLOOKUP(MONTH(Table1[[#This Row],[Sales Document]]),MExchange[#All],2,FALSE),1)*Table1[[#This Row],[Sales Value]]</f>
        <v>1572.1594</v>
      </c>
    </row>
    <row r="58" spans="1:13" hidden="1" x14ac:dyDescent="0.25">
      <c r="A58" t="s">
        <v>31</v>
      </c>
      <c r="B58">
        <v>44015</v>
      </c>
      <c r="C58">
        <v>43383</v>
      </c>
      <c r="D58">
        <v>8060</v>
      </c>
      <c r="E58">
        <v>108</v>
      </c>
      <c r="G58">
        <v>60</v>
      </c>
      <c r="H58">
        <v>1680</v>
      </c>
      <c r="I58" s="27" t="str">
        <f>VLOOKUP(Table1[[#This Row],[Company ID]],MCompany[#All],2,FALSE)</f>
        <v>Lucas Basics</v>
      </c>
      <c r="J58" s="29" t="str">
        <f>VLOOKUP(Table1[[#This Row],[Customer code]],MCustomer[#All],2,FALSE)</f>
        <v>Liebher</v>
      </c>
      <c r="K58" s="27" t="str">
        <f>VLOOKUP(Table1[[#This Row],[Article code]],MArticle[#All],2,FALSE)</f>
        <v>Laptop bag black</v>
      </c>
      <c r="L58" s="27" t="str">
        <f>VLOOKUP(Table1[[#This Row],[Company ID]],MCompany[#All],4,FALSE)</f>
        <v>Europe</v>
      </c>
      <c r="M58" s="28">
        <f>IF(Table1[[#This Row],[Region]]="Europe",VLOOKUP(MONTH(Table1[[#This Row],[Sales Document]]),MExchange[#All],2,FALSE),1)*Table1[[#This Row],[Sales Value]]</f>
        <v>1936.8216000000002</v>
      </c>
    </row>
    <row r="59" spans="1:13" hidden="1" x14ac:dyDescent="0.25">
      <c r="A59" t="s">
        <v>31</v>
      </c>
      <c r="B59">
        <v>44015</v>
      </c>
      <c r="C59">
        <v>43383</v>
      </c>
      <c r="D59">
        <v>8060</v>
      </c>
      <c r="E59">
        <v>109</v>
      </c>
      <c r="G59">
        <v>70</v>
      </c>
      <c r="H59">
        <v>1960</v>
      </c>
      <c r="I59" s="27" t="str">
        <f>VLOOKUP(Table1[[#This Row],[Company ID]],MCompany[#All],2,FALSE)</f>
        <v>Lucas Basics</v>
      </c>
      <c r="J59" s="29" t="str">
        <f>VLOOKUP(Table1[[#This Row],[Customer code]],MCustomer[#All],2,FALSE)</f>
        <v>Liebher</v>
      </c>
      <c r="K59" s="27" t="str">
        <f>VLOOKUP(Table1[[#This Row],[Article code]],MArticle[#All],2,FALSE)</f>
        <v>Laptop bag red</v>
      </c>
      <c r="L59" s="27" t="str">
        <f>VLOOKUP(Table1[[#This Row],[Company ID]],MCompany[#All],4,FALSE)</f>
        <v>Europe</v>
      </c>
      <c r="M59" s="28">
        <f>IF(Table1[[#This Row],[Region]]="Europe",VLOOKUP(MONTH(Table1[[#This Row],[Sales Document]]),MExchange[#All],2,FALSE),1)*Table1[[#This Row],[Sales Value]]</f>
        <v>2259.6251999999999</v>
      </c>
    </row>
    <row r="60" spans="1:13" hidden="1" x14ac:dyDescent="0.25">
      <c r="A60" t="s">
        <v>31</v>
      </c>
      <c r="B60">
        <v>44017</v>
      </c>
      <c r="C60">
        <v>43386</v>
      </c>
      <c r="D60">
        <v>8060</v>
      </c>
      <c r="E60">
        <v>108</v>
      </c>
      <c r="G60">
        <v>70</v>
      </c>
      <c r="H60">
        <v>1960</v>
      </c>
      <c r="I60" s="27" t="str">
        <f>VLOOKUP(Table1[[#This Row],[Company ID]],MCompany[#All],2,FALSE)</f>
        <v>Lucas Basics</v>
      </c>
      <c r="J60" s="29" t="str">
        <f>VLOOKUP(Table1[[#This Row],[Customer code]],MCustomer[#All],2,FALSE)</f>
        <v>Liebher</v>
      </c>
      <c r="K60" s="27" t="str">
        <f>VLOOKUP(Table1[[#This Row],[Article code]],MArticle[#All],2,FALSE)</f>
        <v>Laptop bag black</v>
      </c>
      <c r="L60" s="27" t="str">
        <f>VLOOKUP(Table1[[#This Row],[Company ID]],MCompany[#All],4,FALSE)</f>
        <v>Europe</v>
      </c>
      <c r="M60" s="28">
        <f>IF(Table1[[#This Row],[Region]]="Europe",VLOOKUP(MONTH(Table1[[#This Row],[Sales Document]]),MExchange[#All],2,FALSE),1)*Table1[[#This Row],[Sales Value]]</f>
        <v>2259.6251999999999</v>
      </c>
    </row>
    <row r="61" spans="1:13" hidden="1" x14ac:dyDescent="0.25">
      <c r="A61" t="s">
        <v>31</v>
      </c>
      <c r="B61">
        <v>44017</v>
      </c>
      <c r="C61">
        <v>43386</v>
      </c>
      <c r="D61">
        <v>8060</v>
      </c>
      <c r="E61">
        <v>109</v>
      </c>
      <c r="G61">
        <v>70</v>
      </c>
      <c r="H61">
        <v>1960</v>
      </c>
      <c r="I61" s="27" t="str">
        <f>VLOOKUP(Table1[[#This Row],[Company ID]],MCompany[#All],2,FALSE)</f>
        <v>Lucas Basics</v>
      </c>
      <c r="J61" s="29" t="str">
        <f>VLOOKUP(Table1[[#This Row],[Customer code]],MCustomer[#All],2,FALSE)</f>
        <v>Liebher</v>
      </c>
      <c r="K61" s="27" t="str">
        <f>VLOOKUP(Table1[[#This Row],[Article code]],MArticle[#All],2,FALSE)</f>
        <v>Laptop bag red</v>
      </c>
      <c r="L61" s="27" t="str">
        <f>VLOOKUP(Table1[[#This Row],[Company ID]],MCompany[#All],4,FALSE)</f>
        <v>Europe</v>
      </c>
      <c r="M61" s="28">
        <f>IF(Table1[[#This Row],[Region]]="Europe",VLOOKUP(MONTH(Table1[[#This Row],[Sales Document]]),MExchange[#All],2,FALSE),1)*Table1[[#This Row],[Sales Value]]</f>
        <v>2259.6251999999999</v>
      </c>
    </row>
    <row r="62" spans="1:13" hidden="1" x14ac:dyDescent="0.25">
      <c r="A62" t="s">
        <v>31</v>
      </c>
      <c r="B62">
        <v>44016</v>
      </c>
      <c r="C62">
        <v>43387</v>
      </c>
      <c r="D62">
        <v>8050</v>
      </c>
      <c r="E62">
        <v>108</v>
      </c>
      <c r="G62">
        <v>70</v>
      </c>
      <c r="H62">
        <v>1960</v>
      </c>
      <c r="I62" s="27" t="str">
        <f>VLOOKUP(Table1[[#This Row],[Company ID]],MCompany[#All],2,FALSE)</f>
        <v>Lucas Basics</v>
      </c>
      <c r="J62" s="29" t="str">
        <f>VLOOKUP(Table1[[#This Row],[Customer code]],MCustomer[#All],2,FALSE)</f>
        <v>Aida GmbH</v>
      </c>
      <c r="K62" s="27" t="str">
        <f>VLOOKUP(Table1[[#This Row],[Article code]],MArticle[#All],2,FALSE)</f>
        <v>Laptop bag black</v>
      </c>
      <c r="L62" s="27" t="str">
        <f>VLOOKUP(Table1[[#This Row],[Company ID]],MCompany[#All],4,FALSE)</f>
        <v>Europe</v>
      </c>
      <c r="M62" s="28">
        <f>IF(Table1[[#This Row],[Region]]="Europe",VLOOKUP(MONTH(Table1[[#This Row],[Sales Document]]),MExchange[#All],2,FALSE),1)*Table1[[#This Row],[Sales Value]]</f>
        <v>2259.6251999999999</v>
      </c>
    </row>
    <row r="63" spans="1:13" hidden="1" x14ac:dyDescent="0.25">
      <c r="A63" t="s">
        <v>31</v>
      </c>
      <c r="B63">
        <v>44016</v>
      </c>
      <c r="C63">
        <v>43387</v>
      </c>
      <c r="D63">
        <v>8050</v>
      </c>
      <c r="E63">
        <v>109</v>
      </c>
      <c r="F63">
        <v>1</v>
      </c>
      <c r="G63">
        <v>60</v>
      </c>
      <c r="H63">
        <v>1680</v>
      </c>
      <c r="I63" s="27" t="str">
        <f>VLOOKUP(Table1[[#This Row],[Company ID]],MCompany[#All],2,FALSE)</f>
        <v>Lucas Basics</v>
      </c>
      <c r="J63" s="29" t="str">
        <f>VLOOKUP(Table1[[#This Row],[Customer code]],MCustomer[#All],2,FALSE)</f>
        <v>Aida GmbH</v>
      </c>
      <c r="K63" s="27" t="str">
        <f>VLOOKUP(Table1[[#This Row],[Article code]],MArticle[#All],2,FALSE)</f>
        <v>Laptop bag red</v>
      </c>
      <c r="L63" s="27" t="str">
        <f>VLOOKUP(Table1[[#This Row],[Company ID]],MCompany[#All],4,FALSE)</f>
        <v>Europe</v>
      </c>
      <c r="M63" s="28">
        <f>IF(Table1[[#This Row],[Region]]="Europe",VLOOKUP(MONTH(Table1[[#This Row],[Sales Document]]),MExchange[#All],2,FALSE),1)*Table1[[#This Row],[Sales Value]]</f>
        <v>1936.8216000000002</v>
      </c>
    </row>
    <row r="64" spans="1:13" hidden="1" x14ac:dyDescent="0.25">
      <c r="A64" t="s">
        <v>31</v>
      </c>
      <c r="B64">
        <v>44016</v>
      </c>
      <c r="C64">
        <v>43387</v>
      </c>
      <c r="D64">
        <v>8050</v>
      </c>
      <c r="E64">
        <v>110</v>
      </c>
      <c r="G64">
        <v>50</v>
      </c>
      <c r="H64">
        <v>3000</v>
      </c>
      <c r="I64" s="27" t="str">
        <f>VLOOKUP(Table1[[#This Row],[Company ID]],MCompany[#All],2,FALSE)</f>
        <v>Lucas Basics</v>
      </c>
      <c r="J64" s="29" t="str">
        <f>VLOOKUP(Table1[[#This Row],[Customer code]],MCustomer[#All],2,FALSE)</f>
        <v>Aida GmbH</v>
      </c>
      <c r="K64" s="27" t="str">
        <f>VLOOKUP(Table1[[#This Row],[Article code]],MArticle[#All],2,FALSE)</f>
        <v>Smartphone case diamond</v>
      </c>
      <c r="L64" s="27" t="str">
        <f>VLOOKUP(Table1[[#This Row],[Company ID]],MCompany[#All],4,FALSE)</f>
        <v>Europe</v>
      </c>
      <c r="M64" s="28">
        <f>IF(Table1[[#This Row],[Region]]="Europe",VLOOKUP(MONTH(Table1[[#This Row],[Sales Document]]),MExchange[#All],2,FALSE),1)*Table1[[#This Row],[Sales Value]]</f>
        <v>3458.61</v>
      </c>
    </row>
    <row r="65" spans="1:13" hidden="1" x14ac:dyDescent="0.25">
      <c r="A65" t="s">
        <v>31</v>
      </c>
      <c r="B65">
        <v>48097</v>
      </c>
      <c r="C65">
        <v>43390</v>
      </c>
      <c r="D65">
        <v>8060</v>
      </c>
      <c r="E65">
        <v>109</v>
      </c>
      <c r="G65">
        <v>60</v>
      </c>
      <c r="H65">
        <v>1680</v>
      </c>
      <c r="I65" s="27" t="str">
        <f>VLOOKUP(Table1[[#This Row],[Company ID]],MCompany[#All],2,FALSE)</f>
        <v>Lucas Basics</v>
      </c>
      <c r="J65" s="29" t="str">
        <f>VLOOKUP(Table1[[#This Row],[Customer code]],MCustomer[#All],2,FALSE)</f>
        <v>Liebher</v>
      </c>
      <c r="K65" s="27" t="str">
        <f>VLOOKUP(Table1[[#This Row],[Article code]],MArticle[#All],2,FALSE)</f>
        <v>Laptop bag red</v>
      </c>
      <c r="L65" s="27" t="str">
        <f>VLOOKUP(Table1[[#This Row],[Company ID]],MCompany[#All],4,FALSE)</f>
        <v>Europe</v>
      </c>
      <c r="M65" s="28">
        <f>IF(Table1[[#This Row],[Region]]="Europe",VLOOKUP(MONTH(Table1[[#This Row],[Sales Document]]),MExchange[#All],2,FALSE),1)*Table1[[#This Row],[Sales Value]]</f>
        <v>2001.2983200000001</v>
      </c>
    </row>
    <row r="66" spans="1:13" hidden="1" x14ac:dyDescent="0.25">
      <c r="A66" t="s">
        <v>31</v>
      </c>
      <c r="B66">
        <v>48097</v>
      </c>
      <c r="C66">
        <v>43390</v>
      </c>
      <c r="D66">
        <v>8060</v>
      </c>
      <c r="E66">
        <v>110</v>
      </c>
      <c r="G66">
        <v>70</v>
      </c>
      <c r="H66">
        <v>4200</v>
      </c>
      <c r="I66" s="27" t="str">
        <f>VLOOKUP(Table1[[#This Row],[Company ID]],MCompany[#All],2,FALSE)</f>
        <v>Lucas Basics</v>
      </c>
      <c r="J66" s="29" t="str">
        <f>VLOOKUP(Table1[[#This Row],[Customer code]],MCustomer[#All],2,FALSE)</f>
        <v>Liebher</v>
      </c>
      <c r="K66" s="27" t="str">
        <f>VLOOKUP(Table1[[#This Row],[Article code]],MArticle[#All],2,FALSE)</f>
        <v>Smartphone case diamond</v>
      </c>
      <c r="L66" s="27" t="str">
        <f>VLOOKUP(Table1[[#This Row],[Company ID]],MCompany[#All],4,FALSE)</f>
        <v>Europe</v>
      </c>
      <c r="M66" s="28">
        <f>IF(Table1[[#This Row],[Region]]="Europe",VLOOKUP(MONTH(Table1[[#This Row],[Sales Document]]),MExchange[#All],2,FALSE),1)*Table1[[#This Row],[Sales Value]]</f>
        <v>5003.2457999999997</v>
      </c>
    </row>
    <row r="67" spans="1:13" hidden="1" x14ac:dyDescent="0.25">
      <c r="A67" t="s">
        <v>31</v>
      </c>
      <c r="B67">
        <v>48099</v>
      </c>
      <c r="C67">
        <v>43390</v>
      </c>
      <c r="D67">
        <v>8050</v>
      </c>
      <c r="E67">
        <v>109</v>
      </c>
      <c r="F67">
        <v>1</v>
      </c>
      <c r="G67">
        <v>60</v>
      </c>
      <c r="H67">
        <v>1680</v>
      </c>
      <c r="I67" s="27" t="str">
        <f>VLOOKUP(Table1[[#This Row],[Company ID]],MCompany[#All],2,FALSE)</f>
        <v>Lucas Basics</v>
      </c>
      <c r="J67" s="29" t="str">
        <f>VLOOKUP(Table1[[#This Row],[Customer code]],MCustomer[#All],2,FALSE)</f>
        <v>Aida GmbH</v>
      </c>
      <c r="K67" s="27" t="str">
        <f>VLOOKUP(Table1[[#This Row],[Article code]],MArticle[#All],2,FALSE)</f>
        <v>Laptop bag red</v>
      </c>
      <c r="L67" s="27" t="str">
        <f>VLOOKUP(Table1[[#This Row],[Company ID]],MCompany[#All],4,FALSE)</f>
        <v>Europe</v>
      </c>
      <c r="M67" s="28">
        <f>IF(Table1[[#This Row],[Region]]="Europe",VLOOKUP(MONTH(Table1[[#This Row],[Sales Document]]),MExchange[#All],2,FALSE),1)*Table1[[#This Row],[Sales Value]]</f>
        <v>2001.2983200000001</v>
      </c>
    </row>
    <row r="68" spans="1:13" hidden="1" x14ac:dyDescent="0.25">
      <c r="A68" t="s">
        <v>31</v>
      </c>
      <c r="B68">
        <v>48099</v>
      </c>
      <c r="C68">
        <v>43390</v>
      </c>
      <c r="D68">
        <v>8050</v>
      </c>
      <c r="E68">
        <v>110</v>
      </c>
      <c r="G68">
        <v>60</v>
      </c>
      <c r="H68">
        <v>3600</v>
      </c>
      <c r="I68" s="27" t="str">
        <f>VLOOKUP(Table1[[#This Row],[Company ID]],MCompany[#All],2,FALSE)</f>
        <v>Lucas Basics</v>
      </c>
      <c r="J68" s="29" t="str">
        <f>VLOOKUP(Table1[[#This Row],[Customer code]],MCustomer[#All],2,FALSE)</f>
        <v>Aida GmbH</v>
      </c>
      <c r="K68" s="27" t="str">
        <f>VLOOKUP(Table1[[#This Row],[Article code]],MArticle[#All],2,FALSE)</f>
        <v>Smartphone case diamond</v>
      </c>
      <c r="L68" s="27" t="str">
        <f>VLOOKUP(Table1[[#This Row],[Company ID]],MCompany[#All],4,FALSE)</f>
        <v>Europe</v>
      </c>
      <c r="M68" s="28">
        <f>IF(Table1[[#This Row],[Region]]="Europe",VLOOKUP(MONTH(Table1[[#This Row],[Sales Document]]),MExchange[#All],2,FALSE),1)*Table1[[#This Row],[Sales Value]]</f>
        <v>4288.4964</v>
      </c>
    </row>
    <row r="69" spans="1:13" hidden="1" x14ac:dyDescent="0.25">
      <c r="A69" t="s">
        <v>31</v>
      </c>
      <c r="B69">
        <v>48099</v>
      </c>
      <c r="C69">
        <v>43390</v>
      </c>
      <c r="D69">
        <v>8050</v>
      </c>
      <c r="E69">
        <v>111</v>
      </c>
      <c r="G69">
        <v>60</v>
      </c>
      <c r="H69">
        <v>1200</v>
      </c>
      <c r="I69" s="27" t="str">
        <f>VLOOKUP(Table1[[#This Row],[Company ID]],MCompany[#All],2,FALSE)</f>
        <v>Lucas Basics</v>
      </c>
      <c r="J69" s="29" t="str">
        <f>VLOOKUP(Table1[[#This Row],[Customer code]],MCustomer[#All],2,FALSE)</f>
        <v>Aida GmbH</v>
      </c>
      <c r="K69" s="27" t="str">
        <f>VLOOKUP(Table1[[#This Row],[Article code]],MArticle[#All],2,FALSE)</f>
        <v>Smartphone case simple</v>
      </c>
      <c r="L69" s="27" t="str">
        <f>VLOOKUP(Table1[[#This Row],[Company ID]],MCompany[#All],4,FALSE)</f>
        <v>Europe</v>
      </c>
      <c r="M69" s="28">
        <f>IF(Table1[[#This Row],[Region]]="Europe",VLOOKUP(MONTH(Table1[[#This Row],[Sales Document]]),MExchange[#All],2,FALSE),1)*Table1[[#This Row],[Sales Value]]</f>
        <v>1429.4988000000001</v>
      </c>
    </row>
    <row r="70" spans="1:13" hidden="1" x14ac:dyDescent="0.25">
      <c r="A70" t="s">
        <v>31</v>
      </c>
      <c r="B70">
        <v>48101</v>
      </c>
      <c r="C70">
        <v>43390</v>
      </c>
      <c r="D70">
        <v>8060</v>
      </c>
      <c r="E70">
        <v>109</v>
      </c>
      <c r="G70">
        <v>60</v>
      </c>
      <c r="H70">
        <v>1680</v>
      </c>
      <c r="I70" s="27" t="str">
        <f>VLOOKUP(Table1[[#This Row],[Company ID]],MCompany[#All],2,FALSE)</f>
        <v>Lucas Basics</v>
      </c>
      <c r="J70" s="29" t="str">
        <f>VLOOKUP(Table1[[#This Row],[Customer code]],MCustomer[#All],2,FALSE)</f>
        <v>Liebher</v>
      </c>
      <c r="K70" s="27" t="str">
        <f>VLOOKUP(Table1[[#This Row],[Article code]],MArticle[#All],2,FALSE)</f>
        <v>Laptop bag red</v>
      </c>
      <c r="L70" s="27" t="str">
        <f>VLOOKUP(Table1[[#This Row],[Company ID]],MCompany[#All],4,FALSE)</f>
        <v>Europe</v>
      </c>
      <c r="M70" s="28">
        <f>IF(Table1[[#This Row],[Region]]="Europe",VLOOKUP(MONTH(Table1[[#This Row],[Sales Document]]),MExchange[#All],2,FALSE),1)*Table1[[#This Row],[Sales Value]]</f>
        <v>2001.2983200000001</v>
      </c>
    </row>
    <row r="71" spans="1:13" hidden="1" x14ac:dyDescent="0.25">
      <c r="A71" t="s">
        <v>31</v>
      </c>
      <c r="B71">
        <v>48101</v>
      </c>
      <c r="C71">
        <v>43390</v>
      </c>
      <c r="D71">
        <v>8060</v>
      </c>
      <c r="E71">
        <v>110</v>
      </c>
      <c r="G71">
        <v>50</v>
      </c>
      <c r="H71">
        <v>3000</v>
      </c>
      <c r="I71" s="27" t="str">
        <f>VLOOKUP(Table1[[#This Row],[Company ID]],MCompany[#All],2,FALSE)</f>
        <v>Lucas Basics</v>
      </c>
      <c r="J71" s="29" t="str">
        <f>VLOOKUP(Table1[[#This Row],[Customer code]],MCustomer[#All],2,FALSE)</f>
        <v>Liebher</v>
      </c>
      <c r="K71" s="27" t="str">
        <f>VLOOKUP(Table1[[#This Row],[Article code]],MArticle[#All],2,FALSE)</f>
        <v>Smartphone case diamond</v>
      </c>
      <c r="L71" s="27" t="str">
        <f>VLOOKUP(Table1[[#This Row],[Company ID]],MCompany[#All],4,FALSE)</f>
        <v>Europe</v>
      </c>
      <c r="M71" s="28">
        <f>IF(Table1[[#This Row],[Region]]="Europe",VLOOKUP(MONTH(Table1[[#This Row],[Sales Document]]),MExchange[#All],2,FALSE),1)*Table1[[#This Row],[Sales Value]]</f>
        <v>3573.7469999999998</v>
      </c>
    </row>
    <row r="72" spans="1:13" hidden="1" x14ac:dyDescent="0.25">
      <c r="A72" t="s">
        <v>31</v>
      </c>
      <c r="B72">
        <v>45427</v>
      </c>
      <c r="C72">
        <v>43394</v>
      </c>
      <c r="D72">
        <v>8050</v>
      </c>
      <c r="E72">
        <v>108</v>
      </c>
      <c r="G72">
        <v>70</v>
      </c>
      <c r="H72">
        <v>1960</v>
      </c>
      <c r="I72" s="27" t="str">
        <f>VLOOKUP(Table1[[#This Row],[Company ID]],MCompany[#All],2,FALSE)</f>
        <v>Lucas Basics</v>
      </c>
      <c r="J72" s="29" t="str">
        <f>VLOOKUP(Table1[[#This Row],[Customer code]],MCustomer[#All],2,FALSE)</f>
        <v>Aida GmbH</v>
      </c>
      <c r="K72" s="27" t="str">
        <f>VLOOKUP(Table1[[#This Row],[Article code]],MArticle[#All],2,FALSE)</f>
        <v>Laptop bag black</v>
      </c>
      <c r="L72" s="27" t="str">
        <f>VLOOKUP(Table1[[#This Row],[Company ID]],MCompany[#All],4,FALSE)</f>
        <v>Europe</v>
      </c>
      <c r="M72" s="28">
        <f>IF(Table1[[#This Row],[Region]]="Europe",VLOOKUP(MONTH(Table1[[#This Row],[Sales Document]]),MExchange[#All],2,FALSE),1)*Table1[[#This Row],[Sales Value]]</f>
        <v>2167.9795199999999</v>
      </c>
    </row>
    <row r="73" spans="1:13" hidden="1" x14ac:dyDescent="0.25">
      <c r="A73" t="s">
        <v>31</v>
      </c>
      <c r="B73">
        <v>45427</v>
      </c>
      <c r="C73">
        <v>43394</v>
      </c>
      <c r="D73">
        <v>8050</v>
      </c>
      <c r="E73">
        <v>109</v>
      </c>
      <c r="G73">
        <v>60</v>
      </c>
      <c r="H73">
        <v>1680</v>
      </c>
      <c r="I73" s="27" t="str">
        <f>VLOOKUP(Table1[[#This Row],[Company ID]],MCompany[#All],2,FALSE)</f>
        <v>Lucas Basics</v>
      </c>
      <c r="J73" s="29" t="str">
        <f>VLOOKUP(Table1[[#This Row],[Customer code]],MCustomer[#All],2,FALSE)</f>
        <v>Aida GmbH</v>
      </c>
      <c r="K73" s="27" t="str">
        <f>VLOOKUP(Table1[[#This Row],[Article code]],MArticle[#All],2,FALSE)</f>
        <v>Laptop bag red</v>
      </c>
      <c r="L73" s="27" t="str">
        <f>VLOOKUP(Table1[[#This Row],[Company ID]],MCompany[#All],4,FALSE)</f>
        <v>Europe</v>
      </c>
      <c r="M73" s="28">
        <f>IF(Table1[[#This Row],[Region]]="Europe",VLOOKUP(MONTH(Table1[[#This Row],[Sales Document]]),MExchange[#All],2,FALSE),1)*Table1[[#This Row],[Sales Value]]</f>
        <v>1858.2681600000001</v>
      </c>
    </row>
    <row r="74" spans="1:13" hidden="1" x14ac:dyDescent="0.25">
      <c r="A74" t="s">
        <v>31</v>
      </c>
      <c r="B74">
        <v>45429</v>
      </c>
      <c r="C74">
        <v>43394</v>
      </c>
      <c r="D74">
        <v>8060</v>
      </c>
      <c r="E74">
        <v>108</v>
      </c>
      <c r="G74">
        <v>80</v>
      </c>
      <c r="H74">
        <v>2240</v>
      </c>
      <c r="I74" s="27" t="str">
        <f>VLOOKUP(Table1[[#This Row],[Company ID]],MCompany[#All],2,FALSE)</f>
        <v>Lucas Basics</v>
      </c>
      <c r="J74" s="29" t="str">
        <f>VLOOKUP(Table1[[#This Row],[Customer code]],MCustomer[#All],2,FALSE)</f>
        <v>Liebher</v>
      </c>
      <c r="K74" s="27" t="str">
        <f>VLOOKUP(Table1[[#This Row],[Article code]],MArticle[#All],2,FALSE)</f>
        <v>Laptop bag black</v>
      </c>
      <c r="L74" s="27" t="str">
        <f>VLOOKUP(Table1[[#This Row],[Company ID]],MCompany[#All],4,FALSE)</f>
        <v>Europe</v>
      </c>
      <c r="M74" s="28">
        <f>IF(Table1[[#This Row],[Region]]="Europe",VLOOKUP(MONTH(Table1[[#This Row],[Sales Document]]),MExchange[#All],2,FALSE),1)*Table1[[#This Row],[Sales Value]]</f>
        <v>2477.6908800000001</v>
      </c>
    </row>
    <row r="75" spans="1:13" hidden="1" x14ac:dyDescent="0.25">
      <c r="A75" t="s">
        <v>31</v>
      </c>
      <c r="B75">
        <v>45429</v>
      </c>
      <c r="C75">
        <v>43394</v>
      </c>
      <c r="D75">
        <v>8060</v>
      </c>
      <c r="E75">
        <v>109</v>
      </c>
      <c r="F75">
        <v>2</v>
      </c>
      <c r="G75">
        <v>80</v>
      </c>
      <c r="H75">
        <v>2240</v>
      </c>
      <c r="I75" s="27" t="str">
        <f>VLOOKUP(Table1[[#This Row],[Company ID]],MCompany[#All],2,FALSE)</f>
        <v>Lucas Basics</v>
      </c>
      <c r="J75" s="29" t="str">
        <f>VLOOKUP(Table1[[#This Row],[Customer code]],MCustomer[#All],2,FALSE)</f>
        <v>Liebher</v>
      </c>
      <c r="K75" s="27" t="str">
        <f>VLOOKUP(Table1[[#This Row],[Article code]],MArticle[#All],2,FALSE)</f>
        <v>Laptop bag red</v>
      </c>
      <c r="L75" s="27" t="str">
        <f>VLOOKUP(Table1[[#This Row],[Company ID]],MCompany[#All],4,FALSE)</f>
        <v>Europe</v>
      </c>
      <c r="M75" s="28">
        <f>IF(Table1[[#This Row],[Region]]="Europe",VLOOKUP(MONTH(Table1[[#This Row],[Sales Document]]),MExchange[#All],2,FALSE),1)*Table1[[#This Row],[Sales Value]]</f>
        <v>2477.6908800000001</v>
      </c>
    </row>
    <row r="76" spans="1:13" hidden="1" x14ac:dyDescent="0.25">
      <c r="A76" t="s">
        <v>31</v>
      </c>
      <c r="B76">
        <v>45429</v>
      </c>
      <c r="C76">
        <v>43394</v>
      </c>
      <c r="D76">
        <v>8060</v>
      </c>
      <c r="E76">
        <v>110</v>
      </c>
      <c r="G76">
        <v>50</v>
      </c>
      <c r="H76">
        <v>3000</v>
      </c>
      <c r="I76" s="27" t="str">
        <f>VLOOKUP(Table1[[#This Row],[Company ID]],MCompany[#All],2,FALSE)</f>
        <v>Lucas Basics</v>
      </c>
      <c r="J76" s="29" t="str">
        <f>VLOOKUP(Table1[[#This Row],[Customer code]],MCustomer[#All],2,FALSE)</f>
        <v>Liebher</v>
      </c>
      <c r="K76" s="27" t="str">
        <f>VLOOKUP(Table1[[#This Row],[Article code]],MArticle[#All],2,FALSE)</f>
        <v>Smartphone case diamond</v>
      </c>
      <c r="L76" s="27" t="str">
        <f>VLOOKUP(Table1[[#This Row],[Company ID]],MCompany[#All],4,FALSE)</f>
        <v>Europe</v>
      </c>
      <c r="M76" s="28">
        <f>IF(Table1[[#This Row],[Region]]="Europe",VLOOKUP(MONTH(Table1[[#This Row],[Sales Document]]),MExchange[#All],2,FALSE),1)*Table1[[#This Row],[Sales Value]]</f>
        <v>3318.3359999999998</v>
      </c>
    </row>
    <row r="77" spans="1:13" hidden="1" x14ac:dyDescent="0.25">
      <c r="A77" t="s">
        <v>31</v>
      </c>
      <c r="B77">
        <v>45431</v>
      </c>
      <c r="C77">
        <v>43394</v>
      </c>
      <c r="D77">
        <v>8050</v>
      </c>
      <c r="E77">
        <v>111</v>
      </c>
      <c r="G77">
        <v>60</v>
      </c>
      <c r="H77">
        <v>1200</v>
      </c>
      <c r="I77" s="27" t="str">
        <f>VLOOKUP(Table1[[#This Row],[Company ID]],MCompany[#All],2,FALSE)</f>
        <v>Lucas Basics</v>
      </c>
      <c r="J77" s="29" t="str">
        <f>VLOOKUP(Table1[[#This Row],[Customer code]],MCustomer[#All],2,FALSE)</f>
        <v>Aida GmbH</v>
      </c>
      <c r="K77" s="27" t="str">
        <f>VLOOKUP(Table1[[#This Row],[Article code]],MArticle[#All],2,FALSE)</f>
        <v>Smartphone case simple</v>
      </c>
      <c r="L77" s="27" t="str">
        <f>VLOOKUP(Table1[[#This Row],[Company ID]],MCompany[#All],4,FALSE)</f>
        <v>Europe</v>
      </c>
      <c r="M77" s="28">
        <f>IF(Table1[[#This Row],[Region]]="Europe",VLOOKUP(MONTH(Table1[[#This Row],[Sales Document]]),MExchange[#All],2,FALSE),1)*Table1[[#This Row],[Sales Value]]</f>
        <v>1327.3344</v>
      </c>
    </row>
    <row r="78" spans="1:13" hidden="1" x14ac:dyDescent="0.25">
      <c r="A78" t="s">
        <v>31</v>
      </c>
      <c r="B78">
        <v>45431</v>
      </c>
      <c r="C78">
        <v>43394</v>
      </c>
      <c r="D78">
        <v>8050</v>
      </c>
      <c r="E78">
        <v>108</v>
      </c>
      <c r="G78">
        <v>60</v>
      </c>
      <c r="H78">
        <v>1680</v>
      </c>
      <c r="I78" s="27" t="str">
        <f>VLOOKUP(Table1[[#This Row],[Company ID]],MCompany[#All],2,FALSE)</f>
        <v>Lucas Basics</v>
      </c>
      <c r="J78" s="29" t="str">
        <f>VLOOKUP(Table1[[#This Row],[Customer code]],MCustomer[#All],2,FALSE)</f>
        <v>Aida GmbH</v>
      </c>
      <c r="K78" s="27" t="str">
        <f>VLOOKUP(Table1[[#This Row],[Article code]],MArticle[#All],2,FALSE)</f>
        <v>Laptop bag black</v>
      </c>
      <c r="L78" s="27" t="str">
        <f>VLOOKUP(Table1[[#This Row],[Company ID]],MCompany[#All],4,FALSE)</f>
        <v>Europe</v>
      </c>
      <c r="M78" s="28">
        <f>IF(Table1[[#This Row],[Region]]="Europe",VLOOKUP(MONTH(Table1[[#This Row],[Sales Document]]),MExchange[#All],2,FALSE),1)*Table1[[#This Row],[Sales Value]]</f>
        <v>1858.2681600000001</v>
      </c>
    </row>
    <row r="79" spans="1:13" x14ac:dyDescent="0.25">
      <c r="A79" t="s">
        <v>29</v>
      </c>
      <c r="B79">
        <v>24030</v>
      </c>
      <c r="C79">
        <v>43375</v>
      </c>
      <c r="D79">
        <v>8020</v>
      </c>
      <c r="E79">
        <v>101</v>
      </c>
      <c r="F79">
        <v>1</v>
      </c>
      <c r="G79">
        <v>130</v>
      </c>
      <c r="H79">
        <v>1560</v>
      </c>
      <c r="I79" s="27" t="str">
        <f>VLOOKUP(Table1[[#This Row],[Company ID]],MCompany[#All],2,FALSE)</f>
        <v>Meta Creations</v>
      </c>
      <c r="J79" s="29" t="str">
        <f>VLOOKUP(Table1[[#This Row],[Customer code]],MCustomer[#All],2,FALSE)</f>
        <v>Erma</v>
      </c>
      <c r="K79" s="27" t="str">
        <f>VLOOKUP(Table1[[#This Row],[Article code]],MArticle[#All],2,FALSE)</f>
        <v>Men type T simple white</v>
      </c>
      <c r="L79" s="27" t="str">
        <f>VLOOKUP(Table1[[#This Row],[Company ID]],MCompany[#All],4,FALSE)</f>
        <v>America</v>
      </c>
      <c r="M79" s="28">
        <f>IF(Table1[[#This Row],[Region]]="Europe",VLOOKUP(MONTH(Table1[[#This Row],[Sales Document]]),MExchange[#All],2,FALSE),1)*Table1[[#This Row],[Sales Value]]</f>
        <v>1560</v>
      </c>
    </row>
    <row r="80" spans="1:13" x14ac:dyDescent="0.25">
      <c r="A80" t="s">
        <v>29</v>
      </c>
      <c r="B80">
        <v>24030</v>
      </c>
      <c r="C80">
        <v>43375</v>
      </c>
      <c r="D80">
        <v>8020</v>
      </c>
      <c r="E80">
        <v>102</v>
      </c>
      <c r="G80">
        <v>30</v>
      </c>
      <c r="H80">
        <v>360</v>
      </c>
      <c r="I80" s="27" t="str">
        <f>VLOOKUP(Table1[[#This Row],[Company ID]],MCompany[#All],2,FALSE)</f>
        <v>Meta Creations</v>
      </c>
      <c r="J80" s="29" t="str">
        <f>VLOOKUP(Table1[[#This Row],[Customer code]],MCustomer[#All],2,FALSE)</f>
        <v>Erma</v>
      </c>
      <c r="K80" s="27" t="str">
        <f>VLOOKUP(Table1[[#This Row],[Article code]],MArticle[#All],2,FALSE)</f>
        <v>Men type T simple black</v>
      </c>
      <c r="L80" s="27" t="str">
        <f>VLOOKUP(Table1[[#This Row],[Company ID]],MCompany[#All],4,FALSE)</f>
        <v>America</v>
      </c>
      <c r="M80" s="28">
        <f>IF(Table1[[#This Row],[Region]]="Europe",VLOOKUP(MONTH(Table1[[#This Row],[Sales Document]]),MExchange[#All],2,FALSE),1)*Table1[[#This Row],[Sales Value]]</f>
        <v>360</v>
      </c>
    </row>
    <row r="81" spans="1:13" x14ac:dyDescent="0.25">
      <c r="A81" t="s">
        <v>29</v>
      </c>
      <c r="B81">
        <v>24030</v>
      </c>
      <c r="C81">
        <v>43375</v>
      </c>
      <c r="D81">
        <v>8020</v>
      </c>
      <c r="E81">
        <v>106</v>
      </c>
      <c r="F81" t="s">
        <v>93</v>
      </c>
      <c r="G81">
        <v>60</v>
      </c>
      <c r="H81">
        <v>300</v>
      </c>
      <c r="I81" s="27" t="str">
        <f>VLOOKUP(Table1[[#This Row],[Company ID]],MCompany[#All],2,FALSE)</f>
        <v>Meta Creations</v>
      </c>
      <c r="J81" s="29" t="str">
        <f>VLOOKUP(Table1[[#This Row],[Customer code]],MCustomer[#All],2,FALSE)</f>
        <v>Erma</v>
      </c>
      <c r="K81" s="27" t="str">
        <f>VLOOKUP(Table1[[#This Row],[Article code]],MArticle[#All],2,FALSE)</f>
        <v>Men basics</v>
      </c>
      <c r="L81" s="27" t="str">
        <f>VLOOKUP(Table1[[#This Row],[Company ID]],MCompany[#All],4,FALSE)</f>
        <v>America</v>
      </c>
      <c r="M81" s="28">
        <f>IF(Table1[[#This Row],[Region]]="Europe",VLOOKUP(MONTH(Table1[[#This Row],[Sales Document]]),MExchange[#All],2,FALSE),1)*Table1[[#This Row],[Sales Value]]</f>
        <v>300</v>
      </c>
    </row>
    <row r="82" spans="1:13" x14ac:dyDescent="0.25">
      <c r="A82" t="s">
        <v>29</v>
      </c>
      <c r="B82">
        <v>24030</v>
      </c>
      <c r="C82">
        <v>43375</v>
      </c>
      <c r="D82">
        <v>8020</v>
      </c>
      <c r="E82">
        <v>108</v>
      </c>
      <c r="G82">
        <v>80</v>
      </c>
      <c r="H82">
        <v>2240</v>
      </c>
      <c r="I82" s="27" t="str">
        <f>VLOOKUP(Table1[[#This Row],[Company ID]],MCompany[#All],2,FALSE)</f>
        <v>Meta Creations</v>
      </c>
      <c r="J82" s="29" t="str">
        <f>VLOOKUP(Table1[[#This Row],[Customer code]],MCustomer[#All],2,FALSE)</f>
        <v>Erma</v>
      </c>
      <c r="K82" s="27" t="str">
        <f>VLOOKUP(Table1[[#This Row],[Article code]],MArticle[#All],2,FALSE)</f>
        <v>Laptop bag black</v>
      </c>
      <c r="L82" s="27" t="str">
        <f>VLOOKUP(Table1[[#This Row],[Company ID]],MCompany[#All],4,FALSE)</f>
        <v>America</v>
      </c>
      <c r="M82" s="28">
        <f>IF(Table1[[#This Row],[Region]]="Europe",VLOOKUP(MONTH(Table1[[#This Row],[Sales Document]]),MExchange[#All],2,FALSE),1)*Table1[[#This Row],[Sales Value]]</f>
        <v>2240</v>
      </c>
    </row>
    <row r="83" spans="1:13" x14ac:dyDescent="0.25">
      <c r="A83" t="s">
        <v>29</v>
      </c>
      <c r="B83">
        <v>24031</v>
      </c>
      <c r="C83">
        <v>43381</v>
      </c>
      <c r="D83">
        <v>8020</v>
      </c>
      <c r="E83">
        <v>101</v>
      </c>
      <c r="F83" t="s">
        <v>93</v>
      </c>
      <c r="G83">
        <v>100</v>
      </c>
      <c r="H83">
        <v>1200</v>
      </c>
      <c r="I83" s="27" t="str">
        <f>VLOOKUP(Table1[[#This Row],[Company ID]],MCompany[#All],2,FALSE)</f>
        <v>Meta Creations</v>
      </c>
      <c r="J83" s="29" t="str">
        <f>VLOOKUP(Table1[[#This Row],[Customer code]],MCustomer[#All],2,FALSE)</f>
        <v>Erma</v>
      </c>
      <c r="K83" s="27" t="str">
        <f>VLOOKUP(Table1[[#This Row],[Article code]],MArticle[#All],2,FALSE)</f>
        <v>Men type T simple white</v>
      </c>
      <c r="L83" s="27" t="str">
        <f>VLOOKUP(Table1[[#This Row],[Company ID]],MCompany[#All],4,FALSE)</f>
        <v>America</v>
      </c>
      <c r="M83" s="28">
        <f>IF(Table1[[#This Row],[Region]]="Europe",VLOOKUP(MONTH(Table1[[#This Row],[Sales Document]]),MExchange[#All],2,FALSE),1)*Table1[[#This Row],[Sales Value]]</f>
        <v>1200</v>
      </c>
    </row>
    <row r="84" spans="1:13" x14ac:dyDescent="0.25">
      <c r="A84" t="s">
        <v>29</v>
      </c>
      <c r="B84">
        <v>24031</v>
      </c>
      <c r="C84">
        <v>43381</v>
      </c>
      <c r="D84">
        <v>8020</v>
      </c>
      <c r="E84">
        <v>108</v>
      </c>
      <c r="F84" t="s">
        <v>93</v>
      </c>
      <c r="G84">
        <v>20</v>
      </c>
      <c r="H84">
        <v>560</v>
      </c>
      <c r="I84" s="27" t="str">
        <f>VLOOKUP(Table1[[#This Row],[Company ID]],MCompany[#All],2,FALSE)</f>
        <v>Meta Creations</v>
      </c>
      <c r="J84" s="29" t="str">
        <f>VLOOKUP(Table1[[#This Row],[Customer code]],MCustomer[#All],2,FALSE)</f>
        <v>Erma</v>
      </c>
      <c r="K84" s="27" t="str">
        <f>VLOOKUP(Table1[[#This Row],[Article code]],MArticle[#All],2,FALSE)</f>
        <v>Laptop bag black</v>
      </c>
      <c r="L84" s="27" t="str">
        <f>VLOOKUP(Table1[[#This Row],[Company ID]],MCompany[#All],4,FALSE)</f>
        <v>America</v>
      </c>
      <c r="M84" s="28">
        <f>IF(Table1[[#This Row],[Region]]="Europe",VLOOKUP(MONTH(Table1[[#This Row],[Sales Document]]),MExchange[#All],2,FALSE),1)*Table1[[#This Row],[Sales Value]]</f>
        <v>560</v>
      </c>
    </row>
    <row r="85" spans="1:13" x14ac:dyDescent="0.25">
      <c r="A85" t="s">
        <v>29</v>
      </c>
      <c r="B85">
        <v>24031</v>
      </c>
      <c r="C85">
        <v>43381</v>
      </c>
      <c r="D85">
        <v>8020</v>
      </c>
      <c r="E85">
        <v>113</v>
      </c>
      <c r="F85" t="s">
        <v>93</v>
      </c>
      <c r="G85">
        <v>100</v>
      </c>
      <c r="H85">
        <v>2500</v>
      </c>
      <c r="I85" s="27" t="str">
        <f>VLOOKUP(Table1[[#This Row],[Company ID]],MCompany[#All],2,FALSE)</f>
        <v>Meta Creations</v>
      </c>
      <c r="J85" s="29" t="str">
        <f>VLOOKUP(Table1[[#This Row],[Customer code]],MCustomer[#All],2,FALSE)</f>
        <v>Erma</v>
      </c>
      <c r="K85" s="27" t="str">
        <f>VLOOKUP(Table1[[#This Row],[Article code]],MArticle[#All],2,FALSE)</f>
        <v>Men dress shirt black</v>
      </c>
      <c r="L85" s="27" t="str">
        <f>VLOOKUP(Table1[[#This Row],[Company ID]],MCompany[#All],4,FALSE)</f>
        <v>America</v>
      </c>
      <c r="M85" s="28">
        <f>IF(Table1[[#This Row],[Region]]="Europe",VLOOKUP(MONTH(Table1[[#This Row],[Sales Document]]),MExchange[#All],2,FALSE),1)*Table1[[#This Row],[Sales Value]]</f>
        <v>2500</v>
      </c>
    </row>
    <row r="86" spans="1:13" x14ac:dyDescent="0.25">
      <c r="A86" t="s">
        <v>29</v>
      </c>
      <c r="B86">
        <v>28112</v>
      </c>
      <c r="C86">
        <v>43385</v>
      </c>
      <c r="D86">
        <v>8020</v>
      </c>
      <c r="E86">
        <v>114</v>
      </c>
      <c r="F86">
        <v>1</v>
      </c>
      <c r="G86">
        <v>50</v>
      </c>
      <c r="H86">
        <v>1250</v>
      </c>
      <c r="I86" s="27" t="str">
        <f>VLOOKUP(Table1[[#This Row],[Company ID]],MCompany[#All],2,FALSE)</f>
        <v>Meta Creations</v>
      </c>
      <c r="J86" s="29" t="str">
        <f>VLOOKUP(Table1[[#This Row],[Customer code]],MCustomer[#All],2,FALSE)</f>
        <v>Erma</v>
      </c>
      <c r="K86" s="27" t="str">
        <f>VLOOKUP(Table1[[#This Row],[Article code]],MArticle[#All],2,FALSE)</f>
        <v>Men dress shirt grey</v>
      </c>
      <c r="L86" s="27" t="str">
        <f>VLOOKUP(Table1[[#This Row],[Company ID]],MCompany[#All],4,FALSE)</f>
        <v>America</v>
      </c>
      <c r="M86" s="28">
        <f>IF(Table1[[#This Row],[Region]]="Europe",VLOOKUP(MONTH(Table1[[#This Row],[Sales Document]]),MExchange[#All],2,FALSE),1)*Table1[[#This Row],[Sales Value]]</f>
        <v>1250</v>
      </c>
    </row>
    <row r="87" spans="1:13" x14ac:dyDescent="0.25">
      <c r="A87" t="s">
        <v>29</v>
      </c>
      <c r="B87">
        <v>28112</v>
      </c>
      <c r="C87">
        <v>43385</v>
      </c>
      <c r="D87">
        <v>8020</v>
      </c>
      <c r="E87">
        <v>101</v>
      </c>
      <c r="F87" t="s">
        <v>93</v>
      </c>
      <c r="G87">
        <v>40</v>
      </c>
      <c r="H87">
        <v>480</v>
      </c>
      <c r="I87" s="27" t="str">
        <f>VLOOKUP(Table1[[#This Row],[Company ID]],MCompany[#All],2,FALSE)</f>
        <v>Meta Creations</v>
      </c>
      <c r="J87" s="29" t="str">
        <f>VLOOKUP(Table1[[#This Row],[Customer code]],MCustomer[#All],2,FALSE)</f>
        <v>Erma</v>
      </c>
      <c r="K87" s="27" t="str">
        <f>VLOOKUP(Table1[[#This Row],[Article code]],MArticle[#All],2,FALSE)</f>
        <v>Men type T simple white</v>
      </c>
      <c r="L87" s="27" t="str">
        <f>VLOOKUP(Table1[[#This Row],[Company ID]],MCompany[#All],4,FALSE)</f>
        <v>America</v>
      </c>
      <c r="M87" s="28">
        <f>IF(Table1[[#This Row],[Region]]="Europe",VLOOKUP(MONTH(Table1[[#This Row],[Sales Document]]),MExchange[#All],2,FALSE),1)*Table1[[#This Row],[Sales Value]]</f>
        <v>480</v>
      </c>
    </row>
    <row r="88" spans="1:13" x14ac:dyDescent="0.25">
      <c r="A88" t="s">
        <v>29</v>
      </c>
      <c r="B88">
        <v>28112</v>
      </c>
      <c r="C88">
        <v>43385</v>
      </c>
      <c r="D88">
        <v>8020</v>
      </c>
      <c r="E88">
        <v>102</v>
      </c>
      <c r="G88">
        <v>70</v>
      </c>
      <c r="H88">
        <v>840</v>
      </c>
      <c r="I88" s="27" t="str">
        <f>VLOOKUP(Table1[[#This Row],[Company ID]],MCompany[#All],2,FALSE)</f>
        <v>Meta Creations</v>
      </c>
      <c r="J88" s="29" t="str">
        <f>VLOOKUP(Table1[[#This Row],[Customer code]],MCustomer[#All],2,FALSE)</f>
        <v>Erma</v>
      </c>
      <c r="K88" s="27" t="str">
        <f>VLOOKUP(Table1[[#This Row],[Article code]],MArticle[#All],2,FALSE)</f>
        <v>Men type T simple black</v>
      </c>
      <c r="L88" s="27" t="str">
        <f>VLOOKUP(Table1[[#This Row],[Company ID]],MCompany[#All],4,FALSE)</f>
        <v>America</v>
      </c>
      <c r="M88" s="28">
        <f>IF(Table1[[#This Row],[Region]]="Europe",VLOOKUP(MONTH(Table1[[#This Row],[Sales Document]]),MExchange[#All],2,FALSE),1)*Table1[[#This Row],[Sales Value]]</f>
        <v>840</v>
      </c>
    </row>
    <row r="89" spans="1:13" x14ac:dyDescent="0.25">
      <c r="A89" t="s">
        <v>29</v>
      </c>
      <c r="B89">
        <v>28112</v>
      </c>
      <c r="C89">
        <v>43385</v>
      </c>
      <c r="D89">
        <v>8020</v>
      </c>
      <c r="E89">
        <v>106</v>
      </c>
      <c r="G89">
        <v>70</v>
      </c>
      <c r="H89">
        <v>350</v>
      </c>
      <c r="I89" s="27" t="str">
        <f>VLOOKUP(Table1[[#This Row],[Company ID]],MCompany[#All],2,FALSE)</f>
        <v>Meta Creations</v>
      </c>
      <c r="J89" s="29" t="str">
        <f>VLOOKUP(Table1[[#This Row],[Customer code]],MCustomer[#All],2,FALSE)</f>
        <v>Erma</v>
      </c>
      <c r="K89" s="27" t="str">
        <f>VLOOKUP(Table1[[#This Row],[Article code]],MArticle[#All],2,FALSE)</f>
        <v>Men basics</v>
      </c>
      <c r="L89" s="27" t="str">
        <f>VLOOKUP(Table1[[#This Row],[Company ID]],MCompany[#All],4,FALSE)</f>
        <v>America</v>
      </c>
      <c r="M89" s="28">
        <f>IF(Table1[[#This Row],[Region]]="Europe",VLOOKUP(MONTH(Table1[[#This Row],[Sales Document]]),MExchange[#All],2,FALSE),1)*Table1[[#This Row],[Sales Value]]</f>
        <v>350</v>
      </c>
    </row>
    <row r="90" spans="1:13" x14ac:dyDescent="0.25">
      <c r="A90" t="s">
        <v>29</v>
      </c>
      <c r="B90">
        <v>28112</v>
      </c>
      <c r="C90">
        <v>43385</v>
      </c>
      <c r="D90">
        <v>8020</v>
      </c>
      <c r="E90">
        <v>108</v>
      </c>
      <c r="G90">
        <v>10</v>
      </c>
      <c r="H90">
        <v>280</v>
      </c>
      <c r="I90" s="27" t="str">
        <f>VLOOKUP(Table1[[#This Row],[Company ID]],MCompany[#All],2,FALSE)</f>
        <v>Meta Creations</v>
      </c>
      <c r="J90" s="29" t="str">
        <f>VLOOKUP(Table1[[#This Row],[Customer code]],MCustomer[#All],2,FALSE)</f>
        <v>Erma</v>
      </c>
      <c r="K90" s="27" t="str">
        <f>VLOOKUP(Table1[[#This Row],[Article code]],MArticle[#All],2,FALSE)</f>
        <v>Laptop bag black</v>
      </c>
      <c r="L90" s="27" t="str">
        <f>VLOOKUP(Table1[[#This Row],[Company ID]],MCompany[#All],4,FALSE)</f>
        <v>America</v>
      </c>
      <c r="M90" s="28">
        <f>IF(Table1[[#This Row],[Region]]="Europe",VLOOKUP(MONTH(Table1[[#This Row],[Sales Document]]),MExchange[#All],2,FALSE),1)*Table1[[#This Row],[Sales Value]]</f>
        <v>280</v>
      </c>
    </row>
    <row r="91" spans="1:13" x14ac:dyDescent="0.25">
      <c r="A91" t="s">
        <v>29</v>
      </c>
      <c r="B91">
        <v>28112</v>
      </c>
      <c r="C91">
        <v>43385</v>
      </c>
      <c r="D91">
        <v>8020</v>
      </c>
      <c r="E91">
        <v>117</v>
      </c>
      <c r="G91">
        <v>80</v>
      </c>
      <c r="H91">
        <v>1440</v>
      </c>
      <c r="I91" s="27" t="str">
        <f>VLOOKUP(Table1[[#This Row],[Company ID]],MCompany[#All],2,FALSE)</f>
        <v>Meta Creations</v>
      </c>
      <c r="J91" s="29" t="str">
        <f>VLOOKUP(Table1[[#This Row],[Customer code]],MCustomer[#All],2,FALSE)</f>
        <v>Erma</v>
      </c>
      <c r="K91" s="27" t="str">
        <f>VLOOKUP(Table1[[#This Row],[Article code]],MArticle[#All],2,FALSE)</f>
        <v>Men shorts grey</v>
      </c>
      <c r="L91" s="27" t="str">
        <f>VLOOKUP(Table1[[#This Row],[Company ID]],MCompany[#All],4,FALSE)</f>
        <v>America</v>
      </c>
      <c r="M91" s="28">
        <f>IF(Table1[[#This Row],[Region]]="Europe",VLOOKUP(MONTH(Table1[[#This Row],[Sales Document]]),MExchange[#All],2,FALSE),1)*Table1[[#This Row],[Sales Value]]</f>
        <v>1440</v>
      </c>
    </row>
    <row r="92" spans="1:13" x14ac:dyDescent="0.25">
      <c r="A92" t="s">
        <v>29</v>
      </c>
      <c r="B92">
        <v>28112</v>
      </c>
      <c r="C92">
        <v>43385</v>
      </c>
      <c r="D92">
        <v>8020</v>
      </c>
      <c r="E92">
        <v>118</v>
      </c>
      <c r="G92">
        <v>70</v>
      </c>
      <c r="H92">
        <v>1260</v>
      </c>
      <c r="I92" s="27" t="str">
        <f>VLOOKUP(Table1[[#This Row],[Company ID]],MCompany[#All],2,FALSE)</f>
        <v>Meta Creations</v>
      </c>
      <c r="J92" s="29" t="str">
        <f>VLOOKUP(Table1[[#This Row],[Customer code]],MCustomer[#All],2,FALSE)</f>
        <v>Erma</v>
      </c>
      <c r="K92" s="27" t="str">
        <f>VLOOKUP(Table1[[#This Row],[Article code]],MArticle[#All],2,FALSE)</f>
        <v>Men shorts black</v>
      </c>
      <c r="L92" s="27" t="str">
        <f>VLOOKUP(Table1[[#This Row],[Company ID]],MCompany[#All],4,FALSE)</f>
        <v>America</v>
      </c>
      <c r="M92" s="28">
        <f>IF(Table1[[#This Row],[Region]]="Europe",VLOOKUP(MONTH(Table1[[#This Row],[Sales Document]]),MExchange[#All],2,FALSE),1)*Table1[[#This Row],[Sales Value]]</f>
        <v>1260</v>
      </c>
    </row>
    <row r="93" spans="1:13" x14ac:dyDescent="0.25">
      <c r="A93" t="s">
        <v>29</v>
      </c>
      <c r="B93">
        <v>25442</v>
      </c>
      <c r="C93">
        <v>43389</v>
      </c>
      <c r="D93">
        <v>8010</v>
      </c>
      <c r="E93">
        <v>118</v>
      </c>
      <c r="G93">
        <v>70</v>
      </c>
      <c r="H93">
        <v>1260</v>
      </c>
      <c r="I93" s="27" t="str">
        <f>VLOOKUP(Table1[[#This Row],[Company ID]],MCompany[#All],2,FALSE)</f>
        <v>Meta Creations</v>
      </c>
      <c r="J93" s="29" t="str">
        <f>VLOOKUP(Table1[[#This Row],[Customer code]],MCustomer[#All],2,FALSE)</f>
        <v>Dellicia</v>
      </c>
      <c r="K93" s="27" t="str">
        <f>VLOOKUP(Table1[[#This Row],[Article code]],MArticle[#All],2,FALSE)</f>
        <v>Men shorts black</v>
      </c>
      <c r="L93" s="27" t="str">
        <f>VLOOKUP(Table1[[#This Row],[Company ID]],MCompany[#All],4,FALSE)</f>
        <v>America</v>
      </c>
      <c r="M93" s="28">
        <f>IF(Table1[[#This Row],[Region]]="Europe",VLOOKUP(MONTH(Table1[[#This Row],[Sales Document]]),MExchange[#All],2,FALSE),1)*Table1[[#This Row],[Sales Value]]</f>
        <v>1260</v>
      </c>
    </row>
    <row r="94" spans="1:13" x14ac:dyDescent="0.25">
      <c r="A94" t="s">
        <v>29</v>
      </c>
      <c r="B94">
        <v>25442</v>
      </c>
      <c r="C94">
        <v>43389</v>
      </c>
      <c r="D94">
        <v>8010</v>
      </c>
      <c r="E94">
        <v>117</v>
      </c>
      <c r="F94">
        <v>6</v>
      </c>
      <c r="G94">
        <v>80</v>
      </c>
      <c r="H94">
        <v>1440</v>
      </c>
      <c r="I94" s="27" t="str">
        <f>VLOOKUP(Table1[[#This Row],[Company ID]],MCompany[#All],2,FALSE)</f>
        <v>Meta Creations</v>
      </c>
      <c r="J94" s="29" t="str">
        <f>VLOOKUP(Table1[[#This Row],[Customer code]],MCustomer[#All],2,FALSE)</f>
        <v>Dellicia</v>
      </c>
      <c r="K94" s="27" t="str">
        <f>VLOOKUP(Table1[[#This Row],[Article code]],MArticle[#All],2,FALSE)</f>
        <v>Men shorts grey</v>
      </c>
      <c r="L94" s="27" t="str">
        <f>VLOOKUP(Table1[[#This Row],[Company ID]],MCompany[#All],4,FALSE)</f>
        <v>America</v>
      </c>
      <c r="M94" s="28">
        <f>IF(Table1[[#This Row],[Region]]="Europe",VLOOKUP(MONTH(Table1[[#This Row],[Sales Document]]),MExchange[#All],2,FALSE),1)*Table1[[#This Row],[Sales Value]]</f>
        <v>1440</v>
      </c>
    </row>
    <row r="95" spans="1:13" x14ac:dyDescent="0.25">
      <c r="A95" t="s">
        <v>29</v>
      </c>
      <c r="B95">
        <v>25442</v>
      </c>
      <c r="C95">
        <v>43389</v>
      </c>
      <c r="D95">
        <v>8010</v>
      </c>
      <c r="E95">
        <v>118</v>
      </c>
      <c r="G95">
        <v>70</v>
      </c>
      <c r="H95">
        <v>1260</v>
      </c>
      <c r="I95" s="27" t="str">
        <f>VLOOKUP(Table1[[#This Row],[Company ID]],MCompany[#All],2,FALSE)</f>
        <v>Meta Creations</v>
      </c>
      <c r="J95" s="29" t="str">
        <f>VLOOKUP(Table1[[#This Row],[Customer code]],MCustomer[#All],2,FALSE)</f>
        <v>Dellicia</v>
      </c>
      <c r="K95" s="27" t="str">
        <f>VLOOKUP(Table1[[#This Row],[Article code]],MArticle[#All],2,FALSE)</f>
        <v>Men shorts black</v>
      </c>
      <c r="L95" s="27" t="str">
        <f>VLOOKUP(Table1[[#This Row],[Company ID]],MCompany[#All],4,FALSE)</f>
        <v>America</v>
      </c>
      <c r="M95" s="28">
        <f>IF(Table1[[#This Row],[Region]]="Europe",VLOOKUP(MONTH(Table1[[#This Row],[Sales Document]]),MExchange[#All],2,FALSE),1)*Table1[[#This Row],[Sales Value]]</f>
        <v>1260</v>
      </c>
    </row>
    <row r="96" spans="1:13" x14ac:dyDescent="0.25">
      <c r="A96" t="s">
        <v>29</v>
      </c>
      <c r="B96">
        <v>25442</v>
      </c>
      <c r="C96">
        <v>43389</v>
      </c>
      <c r="D96">
        <v>8010</v>
      </c>
      <c r="E96">
        <v>116</v>
      </c>
      <c r="F96">
        <v>1</v>
      </c>
      <c r="G96">
        <v>60</v>
      </c>
      <c r="H96">
        <v>360</v>
      </c>
      <c r="I96" s="27" t="str">
        <f>VLOOKUP(Table1[[#This Row],[Company ID]],MCompany[#All],2,FALSE)</f>
        <v>Meta Creations</v>
      </c>
      <c r="J96" s="29" t="str">
        <f>VLOOKUP(Table1[[#This Row],[Customer code]],MCustomer[#All],2,FALSE)</f>
        <v>Dellicia</v>
      </c>
      <c r="K96" s="27" t="str">
        <f>VLOOKUP(Table1[[#This Row],[Article code]],MArticle[#All],2,FALSE)</f>
        <v>Unisex tank top white</v>
      </c>
      <c r="L96" s="27" t="str">
        <f>VLOOKUP(Table1[[#This Row],[Company ID]],MCompany[#All],4,FALSE)</f>
        <v>America</v>
      </c>
      <c r="M96" s="28">
        <f>IF(Table1[[#This Row],[Region]]="Europe",VLOOKUP(MONTH(Table1[[#This Row],[Sales Document]]),MExchange[#All],2,FALSE),1)*Table1[[#This Row],[Sales Value]]</f>
        <v>360</v>
      </c>
    </row>
    <row r="97" spans="1:13" x14ac:dyDescent="0.25">
      <c r="A97" t="s">
        <v>29</v>
      </c>
      <c r="B97">
        <v>25442</v>
      </c>
      <c r="C97">
        <v>43389</v>
      </c>
      <c r="D97">
        <v>8010</v>
      </c>
      <c r="E97">
        <v>106</v>
      </c>
      <c r="G97">
        <v>20</v>
      </c>
      <c r="H97">
        <v>100</v>
      </c>
      <c r="I97" s="27" t="str">
        <f>VLOOKUP(Table1[[#This Row],[Company ID]],MCompany[#All],2,FALSE)</f>
        <v>Meta Creations</v>
      </c>
      <c r="J97" s="29" t="str">
        <f>VLOOKUP(Table1[[#This Row],[Customer code]],MCustomer[#All],2,FALSE)</f>
        <v>Dellicia</v>
      </c>
      <c r="K97" s="27" t="str">
        <f>VLOOKUP(Table1[[#This Row],[Article code]],MArticle[#All],2,FALSE)</f>
        <v>Men basics</v>
      </c>
      <c r="L97" s="27" t="str">
        <f>VLOOKUP(Table1[[#This Row],[Company ID]],MCompany[#All],4,FALSE)</f>
        <v>America</v>
      </c>
      <c r="M97" s="28">
        <f>IF(Table1[[#This Row],[Region]]="Europe",VLOOKUP(MONTH(Table1[[#This Row],[Sales Document]]),MExchange[#All],2,FALSE),1)*Table1[[#This Row],[Sales Value]]</f>
        <v>100</v>
      </c>
    </row>
    <row r="98" spans="1:13" x14ac:dyDescent="0.25">
      <c r="A98" t="s">
        <v>29</v>
      </c>
      <c r="B98">
        <v>25442</v>
      </c>
      <c r="C98">
        <v>43389</v>
      </c>
      <c r="D98">
        <v>8010</v>
      </c>
      <c r="E98">
        <v>101</v>
      </c>
      <c r="G98">
        <v>40</v>
      </c>
      <c r="H98">
        <v>480</v>
      </c>
      <c r="I98" s="27" t="str">
        <f>VLOOKUP(Table1[[#This Row],[Company ID]],MCompany[#All],2,FALSE)</f>
        <v>Meta Creations</v>
      </c>
      <c r="J98" s="29" t="str">
        <f>VLOOKUP(Table1[[#This Row],[Customer code]],MCustomer[#All],2,FALSE)</f>
        <v>Dellicia</v>
      </c>
      <c r="K98" s="27" t="str">
        <f>VLOOKUP(Table1[[#This Row],[Article code]],MArticle[#All],2,FALSE)</f>
        <v>Men type T simple white</v>
      </c>
      <c r="L98" s="27" t="str">
        <f>VLOOKUP(Table1[[#This Row],[Company ID]],MCompany[#All],4,FALSE)</f>
        <v>America</v>
      </c>
      <c r="M98" s="28">
        <f>IF(Table1[[#This Row],[Region]]="Europe",VLOOKUP(MONTH(Table1[[#This Row],[Sales Document]]),MExchange[#All],2,FALSE),1)*Table1[[#This Row],[Sales Value]]</f>
        <v>480</v>
      </c>
    </row>
    <row r="99" spans="1:13" x14ac:dyDescent="0.25">
      <c r="A99" t="s">
        <v>29</v>
      </c>
      <c r="B99">
        <v>25442</v>
      </c>
      <c r="C99">
        <v>43389</v>
      </c>
      <c r="D99">
        <v>8010</v>
      </c>
      <c r="E99">
        <v>102</v>
      </c>
      <c r="G99">
        <v>10</v>
      </c>
      <c r="H99">
        <v>120</v>
      </c>
      <c r="I99" s="27" t="str">
        <f>VLOOKUP(Table1[[#This Row],[Company ID]],MCompany[#All],2,FALSE)</f>
        <v>Meta Creations</v>
      </c>
      <c r="J99" s="29" t="str">
        <f>VLOOKUP(Table1[[#This Row],[Customer code]],MCustomer[#All],2,FALSE)</f>
        <v>Dellicia</v>
      </c>
      <c r="K99" s="27" t="str">
        <f>VLOOKUP(Table1[[#This Row],[Article code]],MArticle[#All],2,FALSE)</f>
        <v>Men type T simple black</v>
      </c>
      <c r="L99" s="27" t="str">
        <f>VLOOKUP(Table1[[#This Row],[Company ID]],MCompany[#All],4,FALSE)</f>
        <v>America</v>
      </c>
      <c r="M99" s="28">
        <f>IF(Table1[[#This Row],[Region]]="Europe",VLOOKUP(MONTH(Table1[[#This Row],[Sales Document]]),MExchange[#All],2,FALSE),1)*Table1[[#This Row],[Sales Value]]</f>
        <v>120</v>
      </c>
    </row>
    <row r="100" spans="1:13" x14ac:dyDescent="0.25">
      <c r="A100" t="s">
        <v>28</v>
      </c>
      <c r="B100">
        <v>66030</v>
      </c>
      <c r="C100">
        <v>43377</v>
      </c>
      <c r="D100">
        <v>8010</v>
      </c>
      <c r="E100">
        <v>103</v>
      </c>
      <c r="F100" t="s">
        <v>93</v>
      </c>
      <c r="G100">
        <v>120</v>
      </c>
      <c r="H100">
        <v>1440</v>
      </c>
      <c r="I100" s="27" t="str">
        <f>VLOOKUP(Table1[[#This Row],[Company ID]],MCompany[#All],2,FALSE)</f>
        <v>Urban Right</v>
      </c>
      <c r="J100" s="29" t="str">
        <f>VLOOKUP(Table1[[#This Row],[Customer code]],MCustomer[#All],2,FALSE)</f>
        <v>Dellicia</v>
      </c>
      <c r="K100" s="27" t="str">
        <f>VLOOKUP(Table1[[#This Row],[Article code]],MArticle[#All],2,FALSE)</f>
        <v>Women type T simple white</v>
      </c>
      <c r="L100" s="27" t="str">
        <f>VLOOKUP(Table1[[#This Row],[Company ID]],MCompany[#All],4,FALSE)</f>
        <v>America</v>
      </c>
      <c r="M100" s="28">
        <f>IF(Table1[[#This Row],[Region]]="Europe",VLOOKUP(MONTH(Table1[[#This Row],[Sales Document]]),MExchange[#All],2,FALSE),1)*Table1[[#This Row],[Sales Value]]</f>
        <v>1440</v>
      </c>
    </row>
    <row r="101" spans="1:13" x14ac:dyDescent="0.25">
      <c r="A101" t="s">
        <v>28</v>
      </c>
      <c r="B101">
        <v>66030</v>
      </c>
      <c r="C101">
        <v>43377</v>
      </c>
      <c r="D101">
        <v>8010</v>
      </c>
      <c r="E101">
        <v>104</v>
      </c>
      <c r="G101">
        <v>150</v>
      </c>
      <c r="H101">
        <v>1800</v>
      </c>
      <c r="I101" s="27" t="str">
        <f>VLOOKUP(Table1[[#This Row],[Company ID]],MCompany[#All],2,FALSE)</f>
        <v>Urban Right</v>
      </c>
      <c r="J101" s="29" t="str">
        <f>VLOOKUP(Table1[[#This Row],[Customer code]],MCustomer[#All],2,FALSE)</f>
        <v>Dellicia</v>
      </c>
      <c r="K101" s="27" t="str">
        <f>VLOOKUP(Table1[[#This Row],[Article code]],MArticle[#All],2,FALSE)</f>
        <v>Women type T simple black</v>
      </c>
      <c r="L101" s="27" t="str">
        <f>VLOOKUP(Table1[[#This Row],[Company ID]],MCompany[#All],4,FALSE)</f>
        <v>America</v>
      </c>
      <c r="M101" s="28">
        <f>IF(Table1[[#This Row],[Region]]="Europe",VLOOKUP(MONTH(Table1[[#This Row],[Sales Document]]),MExchange[#All],2,FALSE),1)*Table1[[#This Row],[Sales Value]]</f>
        <v>1800</v>
      </c>
    </row>
    <row r="102" spans="1:13" x14ac:dyDescent="0.25">
      <c r="A102" t="s">
        <v>28</v>
      </c>
      <c r="B102">
        <v>66032</v>
      </c>
      <c r="C102">
        <v>43380</v>
      </c>
      <c r="D102">
        <v>8010</v>
      </c>
      <c r="E102">
        <v>103</v>
      </c>
      <c r="G102">
        <v>170</v>
      </c>
      <c r="H102">
        <v>2040</v>
      </c>
      <c r="I102" s="27" t="str">
        <f>VLOOKUP(Table1[[#This Row],[Company ID]],MCompany[#All],2,FALSE)</f>
        <v>Urban Right</v>
      </c>
      <c r="J102" s="29" t="str">
        <f>VLOOKUP(Table1[[#This Row],[Customer code]],MCustomer[#All],2,FALSE)</f>
        <v>Dellicia</v>
      </c>
      <c r="K102" s="27" t="str">
        <f>VLOOKUP(Table1[[#This Row],[Article code]],MArticle[#All],2,FALSE)</f>
        <v>Women type T simple white</v>
      </c>
      <c r="L102" s="27" t="str">
        <f>VLOOKUP(Table1[[#This Row],[Company ID]],MCompany[#All],4,FALSE)</f>
        <v>America</v>
      </c>
      <c r="M102" s="28">
        <f>IF(Table1[[#This Row],[Region]]="Europe",VLOOKUP(MONTH(Table1[[#This Row],[Sales Document]]),MExchange[#All],2,FALSE),1)*Table1[[#This Row],[Sales Value]]</f>
        <v>2040</v>
      </c>
    </row>
    <row r="103" spans="1:13" x14ac:dyDescent="0.25">
      <c r="A103" t="s">
        <v>28</v>
      </c>
      <c r="B103">
        <v>66032</v>
      </c>
      <c r="C103">
        <v>43380</v>
      </c>
      <c r="D103">
        <v>8010</v>
      </c>
      <c r="E103">
        <v>104</v>
      </c>
      <c r="G103">
        <v>140</v>
      </c>
      <c r="H103">
        <v>1680</v>
      </c>
      <c r="I103" s="27" t="str">
        <f>VLOOKUP(Table1[[#This Row],[Company ID]],MCompany[#All],2,FALSE)</f>
        <v>Urban Right</v>
      </c>
      <c r="J103" s="29" t="str">
        <f>VLOOKUP(Table1[[#This Row],[Customer code]],MCustomer[#All],2,FALSE)</f>
        <v>Dellicia</v>
      </c>
      <c r="K103" s="27" t="str">
        <f>VLOOKUP(Table1[[#This Row],[Article code]],MArticle[#All],2,FALSE)</f>
        <v>Women type T simple black</v>
      </c>
      <c r="L103" s="27" t="str">
        <f>VLOOKUP(Table1[[#This Row],[Company ID]],MCompany[#All],4,FALSE)</f>
        <v>America</v>
      </c>
      <c r="M103" s="28">
        <f>IF(Table1[[#This Row],[Region]]="Europe",VLOOKUP(MONTH(Table1[[#This Row],[Sales Document]]),MExchange[#All],2,FALSE),1)*Table1[[#This Row],[Sales Value]]</f>
        <v>1680</v>
      </c>
    </row>
    <row r="104" spans="1:13" x14ac:dyDescent="0.25">
      <c r="A104" t="s">
        <v>28</v>
      </c>
      <c r="B104">
        <v>66031</v>
      </c>
      <c r="C104">
        <v>43381</v>
      </c>
      <c r="D104">
        <v>8020</v>
      </c>
      <c r="E104">
        <v>103</v>
      </c>
      <c r="F104">
        <v>1</v>
      </c>
      <c r="G104">
        <v>140</v>
      </c>
      <c r="H104">
        <v>1680</v>
      </c>
      <c r="I104" s="27" t="str">
        <f>VLOOKUP(Table1[[#This Row],[Company ID]],MCompany[#All],2,FALSE)</f>
        <v>Urban Right</v>
      </c>
      <c r="J104" s="29" t="str">
        <f>VLOOKUP(Table1[[#This Row],[Customer code]],MCustomer[#All],2,FALSE)</f>
        <v>Erma</v>
      </c>
      <c r="K104" s="27" t="str">
        <f>VLOOKUP(Table1[[#This Row],[Article code]],MArticle[#All],2,FALSE)</f>
        <v>Women type T simple white</v>
      </c>
      <c r="L104" s="27" t="str">
        <f>VLOOKUP(Table1[[#This Row],[Company ID]],MCompany[#All],4,FALSE)</f>
        <v>America</v>
      </c>
      <c r="M104" s="28">
        <f>IF(Table1[[#This Row],[Region]]="Europe",VLOOKUP(MONTH(Table1[[#This Row],[Sales Document]]),MExchange[#All],2,FALSE),1)*Table1[[#This Row],[Sales Value]]</f>
        <v>1680</v>
      </c>
    </row>
    <row r="105" spans="1:13" x14ac:dyDescent="0.25">
      <c r="A105" t="s">
        <v>28</v>
      </c>
      <c r="B105">
        <v>66031</v>
      </c>
      <c r="C105">
        <v>43381</v>
      </c>
      <c r="D105">
        <v>8020</v>
      </c>
      <c r="E105">
        <v>104</v>
      </c>
      <c r="G105">
        <v>150</v>
      </c>
      <c r="H105">
        <v>1800</v>
      </c>
      <c r="I105" s="27" t="str">
        <f>VLOOKUP(Table1[[#This Row],[Company ID]],MCompany[#All],2,FALSE)</f>
        <v>Urban Right</v>
      </c>
      <c r="J105" s="29" t="str">
        <f>VLOOKUP(Table1[[#This Row],[Customer code]],MCustomer[#All],2,FALSE)</f>
        <v>Erma</v>
      </c>
      <c r="K105" s="27" t="str">
        <f>VLOOKUP(Table1[[#This Row],[Article code]],MArticle[#All],2,FALSE)</f>
        <v>Women type T simple black</v>
      </c>
      <c r="L105" s="27" t="str">
        <f>VLOOKUP(Table1[[#This Row],[Company ID]],MCompany[#All],4,FALSE)</f>
        <v>America</v>
      </c>
      <c r="M105" s="28">
        <f>IF(Table1[[#This Row],[Region]]="Europe",VLOOKUP(MONTH(Table1[[#This Row],[Sales Document]]),MExchange[#All],2,FALSE),1)*Table1[[#This Row],[Sales Value]]</f>
        <v>1800</v>
      </c>
    </row>
    <row r="106" spans="1:13" x14ac:dyDescent="0.25">
      <c r="A106" t="s">
        <v>28</v>
      </c>
      <c r="B106">
        <v>66031</v>
      </c>
      <c r="C106">
        <v>43381</v>
      </c>
      <c r="D106">
        <v>8020</v>
      </c>
      <c r="E106">
        <v>105</v>
      </c>
      <c r="G106">
        <v>100</v>
      </c>
      <c r="H106">
        <v>1000</v>
      </c>
      <c r="I106" s="27" t="str">
        <f>VLOOKUP(Table1[[#This Row],[Company ID]],MCompany[#All],2,FALSE)</f>
        <v>Urban Right</v>
      </c>
      <c r="J106" s="29" t="str">
        <f>VLOOKUP(Table1[[#This Row],[Customer code]],MCustomer[#All],2,FALSE)</f>
        <v>Erma</v>
      </c>
      <c r="K106" s="27" t="str">
        <f>VLOOKUP(Table1[[#This Row],[Article code]],MArticle[#All],2,FALSE)</f>
        <v>Women crop top black</v>
      </c>
      <c r="L106" s="27" t="str">
        <f>VLOOKUP(Table1[[#This Row],[Company ID]],MCompany[#All],4,FALSE)</f>
        <v>America</v>
      </c>
      <c r="M106" s="28">
        <f>IF(Table1[[#This Row],[Region]]="Europe",VLOOKUP(MONTH(Table1[[#This Row],[Sales Document]]),MExchange[#All],2,FALSE),1)*Table1[[#This Row],[Sales Value]]</f>
        <v>1000</v>
      </c>
    </row>
    <row r="107" spans="1:13" x14ac:dyDescent="0.25">
      <c r="A107" t="s">
        <v>28</v>
      </c>
      <c r="B107">
        <v>68112</v>
      </c>
      <c r="C107">
        <v>43384</v>
      </c>
      <c r="D107">
        <v>8010</v>
      </c>
      <c r="E107">
        <v>104</v>
      </c>
      <c r="F107">
        <v>4</v>
      </c>
      <c r="G107">
        <v>180</v>
      </c>
      <c r="H107">
        <v>2160</v>
      </c>
      <c r="I107" s="27" t="str">
        <f>VLOOKUP(Table1[[#This Row],[Company ID]],MCompany[#All],2,FALSE)</f>
        <v>Urban Right</v>
      </c>
      <c r="J107" s="29" t="str">
        <f>VLOOKUP(Table1[[#This Row],[Customer code]],MCustomer[#All],2,FALSE)</f>
        <v>Dellicia</v>
      </c>
      <c r="K107" s="27" t="str">
        <f>VLOOKUP(Table1[[#This Row],[Article code]],MArticle[#All],2,FALSE)</f>
        <v>Women type T simple black</v>
      </c>
      <c r="L107" s="27" t="str">
        <f>VLOOKUP(Table1[[#This Row],[Company ID]],MCompany[#All],4,FALSE)</f>
        <v>America</v>
      </c>
      <c r="M107" s="28">
        <f>IF(Table1[[#This Row],[Region]]="Europe",VLOOKUP(MONTH(Table1[[#This Row],[Sales Document]]),MExchange[#All],2,FALSE),1)*Table1[[#This Row],[Sales Value]]</f>
        <v>2160</v>
      </c>
    </row>
    <row r="108" spans="1:13" x14ac:dyDescent="0.25">
      <c r="A108" t="s">
        <v>28</v>
      </c>
      <c r="B108">
        <v>68112</v>
      </c>
      <c r="C108">
        <v>43384</v>
      </c>
      <c r="D108">
        <v>8010</v>
      </c>
      <c r="E108">
        <v>105</v>
      </c>
      <c r="G108">
        <v>120</v>
      </c>
      <c r="H108">
        <v>1200</v>
      </c>
      <c r="I108" s="27" t="str">
        <f>VLOOKUP(Table1[[#This Row],[Company ID]],MCompany[#All],2,FALSE)</f>
        <v>Urban Right</v>
      </c>
      <c r="J108" s="29" t="str">
        <f>VLOOKUP(Table1[[#This Row],[Customer code]],MCustomer[#All],2,FALSE)</f>
        <v>Dellicia</v>
      </c>
      <c r="K108" s="27" t="str">
        <f>VLOOKUP(Table1[[#This Row],[Article code]],MArticle[#All],2,FALSE)</f>
        <v>Women crop top black</v>
      </c>
      <c r="L108" s="27" t="str">
        <f>VLOOKUP(Table1[[#This Row],[Company ID]],MCompany[#All],4,FALSE)</f>
        <v>America</v>
      </c>
      <c r="M108" s="28">
        <f>IF(Table1[[#This Row],[Region]]="Europe",VLOOKUP(MONTH(Table1[[#This Row],[Sales Document]]),MExchange[#All],2,FALSE),1)*Table1[[#This Row],[Sales Value]]</f>
        <v>1200</v>
      </c>
    </row>
    <row r="109" spans="1:13" x14ac:dyDescent="0.25">
      <c r="A109" t="s">
        <v>28</v>
      </c>
      <c r="B109">
        <v>68116</v>
      </c>
      <c r="C109">
        <v>43384</v>
      </c>
      <c r="D109">
        <v>8020</v>
      </c>
      <c r="E109">
        <v>104</v>
      </c>
      <c r="G109">
        <v>150</v>
      </c>
      <c r="H109">
        <v>1800</v>
      </c>
      <c r="I109" s="27" t="str">
        <f>VLOOKUP(Table1[[#This Row],[Company ID]],MCompany[#All],2,FALSE)</f>
        <v>Urban Right</v>
      </c>
      <c r="J109" s="29" t="str">
        <f>VLOOKUP(Table1[[#This Row],[Customer code]],MCustomer[#All],2,FALSE)</f>
        <v>Erma</v>
      </c>
      <c r="K109" s="27" t="str">
        <f>VLOOKUP(Table1[[#This Row],[Article code]],MArticle[#All],2,FALSE)</f>
        <v>Women type T simple black</v>
      </c>
      <c r="L109" s="27" t="str">
        <f>VLOOKUP(Table1[[#This Row],[Company ID]],MCompany[#All],4,FALSE)</f>
        <v>America</v>
      </c>
      <c r="M109" s="28">
        <f>IF(Table1[[#This Row],[Region]]="Europe",VLOOKUP(MONTH(Table1[[#This Row],[Sales Document]]),MExchange[#All],2,FALSE),1)*Table1[[#This Row],[Sales Value]]</f>
        <v>1800</v>
      </c>
    </row>
    <row r="110" spans="1:13" x14ac:dyDescent="0.25">
      <c r="A110" t="s">
        <v>28</v>
      </c>
      <c r="B110">
        <v>68116</v>
      </c>
      <c r="C110">
        <v>43384</v>
      </c>
      <c r="D110">
        <v>8020</v>
      </c>
      <c r="E110">
        <v>105</v>
      </c>
      <c r="G110">
        <v>190</v>
      </c>
      <c r="H110">
        <v>1900</v>
      </c>
      <c r="I110" s="27" t="str">
        <f>VLOOKUP(Table1[[#This Row],[Company ID]],MCompany[#All],2,FALSE)</f>
        <v>Urban Right</v>
      </c>
      <c r="J110" s="29" t="str">
        <f>VLOOKUP(Table1[[#This Row],[Customer code]],MCustomer[#All],2,FALSE)</f>
        <v>Erma</v>
      </c>
      <c r="K110" s="27" t="str">
        <f>VLOOKUP(Table1[[#This Row],[Article code]],MArticle[#All],2,FALSE)</f>
        <v>Women crop top black</v>
      </c>
      <c r="L110" s="27" t="str">
        <f>VLOOKUP(Table1[[#This Row],[Company ID]],MCompany[#All],4,FALSE)</f>
        <v>America</v>
      </c>
      <c r="M110" s="28">
        <f>IF(Table1[[#This Row],[Region]]="Europe",VLOOKUP(MONTH(Table1[[#This Row],[Sales Document]]),MExchange[#All],2,FALSE),1)*Table1[[#This Row],[Sales Value]]</f>
        <v>1900</v>
      </c>
    </row>
    <row r="111" spans="1:13" x14ac:dyDescent="0.25">
      <c r="A111" t="s">
        <v>28</v>
      </c>
      <c r="B111">
        <v>68116</v>
      </c>
      <c r="C111">
        <v>43384</v>
      </c>
      <c r="D111">
        <v>8020</v>
      </c>
      <c r="E111">
        <v>107</v>
      </c>
      <c r="F111">
        <v>2</v>
      </c>
      <c r="G111">
        <v>160</v>
      </c>
      <c r="H111">
        <v>800</v>
      </c>
      <c r="I111" s="27" t="str">
        <f>VLOOKUP(Table1[[#This Row],[Company ID]],MCompany[#All],2,FALSE)</f>
        <v>Urban Right</v>
      </c>
      <c r="J111" s="29" t="str">
        <f>VLOOKUP(Table1[[#This Row],[Customer code]],MCustomer[#All],2,FALSE)</f>
        <v>Erma</v>
      </c>
      <c r="K111" s="27" t="str">
        <f>VLOOKUP(Table1[[#This Row],[Article code]],MArticle[#All],2,FALSE)</f>
        <v>Women basics</v>
      </c>
      <c r="L111" s="27" t="str">
        <f>VLOOKUP(Table1[[#This Row],[Company ID]],MCompany[#All],4,FALSE)</f>
        <v>America</v>
      </c>
      <c r="M111" s="28">
        <f>IF(Table1[[#This Row],[Region]]="Europe",VLOOKUP(MONTH(Table1[[#This Row],[Sales Document]]),MExchange[#All],2,FALSE),1)*Table1[[#This Row],[Sales Value]]</f>
        <v>800</v>
      </c>
    </row>
    <row r="112" spans="1:13" x14ac:dyDescent="0.25">
      <c r="A112" t="s">
        <v>28</v>
      </c>
      <c r="B112">
        <v>68116</v>
      </c>
      <c r="C112">
        <v>43384</v>
      </c>
      <c r="D112">
        <v>8010</v>
      </c>
      <c r="E112">
        <v>104</v>
      </c>
      <c r="G112">
        <v>160</v>
      </c>
      <c r="H112">
        <v>1920</v>
      </c>
      <c r="I112" s="27" t="str">
        <f>VLOOKUP(Table1[[#This Row],[Company ID]],MCompany[#All],2,FALSE)</f>
        <v>Urban Right</v>
      </c>
      <c r="J112" s="29" t="str">
        <f>VLOOKUP(Table1[[#This Row],[Customer code]],MCustomer[#All],2,FALSE)</f>
        <v>Dellicia</v>
      </c>
      <c r="K112" s="27" t="str">
        <f>VLOOKUP(Table1[[#This Row],[Article code]],MArticle[#All],2,FALSE)</f>
        <v>Women type T simple black</v>
      </c>
      <c r="L112" s="27" t="str">
        <f>VLOOKUP(Table1[[#This Row],[Company ID]],MCompany[#All],4,FALSE)</f>
        <v>America</v>
      </c>
      <c r="M112" s="28">
        <f>IF(Table1[[#This Row],[Region]]="Europe",VLOOKUP(MONTH(Table1[[#This Row],[Sales Document]]),MExchange[#All],2,FALSE),1)*Table1[[#This Row],[Sales Value]]</f>
        <v>1920</v>
      </c>
    </row>
    <row r="113" spans="1:13" x14ac:dyDescent="0.25">
      <c r="A113" t="s">
        <v>28</v>
      </c>
      <c r="B113">
        <v>68116</v>
      </c>
      <c r="C113">
        <v>43384</v>
      </c>
      <c r="D113">
        <v>8010</v>
      </c>
      <c r="E113">
        <v>105</v>
      </c>
      <c r="G113">
        <v>190</v>
      </c>
      <c r="H113">
        <v>1900</v>
      </c>
      <c r="I113" s="27" t="str">
        <f>VLOOKUP(Table1[[#This Row],[Company ID]],MCompany[#All],2,FALSE)</f>
        <v>Urban Right</v>
      </c>
      <c r="J113" s="29" t="str">
        <f>VLOOKUP(Table1[[#This Row],[Customer code]],MCustomer[#All],2,FALSE)</f>
        <v>Dellicia</v>
      </c>
      <c r="K113" s="27" t="str">
        <f>VLOOKUP(Table1[[#This Row],[Article code]],MArticle[#All],2,FALSE)</f>
        <v>Women crop top black</v>
      </c>
      <c r="L113" s="27" t="str">
        <f>VLOOKUP(Table1[[#This Row],[Company ID]],MCompany[#All],4,FALSE)</f>
        <v>America</v>
      </c>
      <c r="M113" s="28">
        <f>IF(Table1[[#This Row],[Region]]="Europe",VLOOKUP(MONTH(Table1[[#This Row],[Sales Document]]),MExchange[#All],2,FALSE),1)*Table1[[#This Row],[Sales Value]]</f>
        <v>1900</v>
      </c>
    </row>
    <row r="114" spans="1:13" x14ac:dyDescent="0.25">
      <c r="A114" t="s">
        <v>28</v>
      </c>
      <c r="B114">
        <v>65662</v>
      </c>
      <c r="C114">
        <v>43388</v>
      </c>
      <c r="D114">
        <v>8020</v>
      </c>
      <c r="E114">
        <v>103</v>
      </c>
      <c r="G114">
        <v>120</v>
      </c>
      <c r="H114">
        <v>1440</v>
      </c>
      <c r="I114" s="27" t="str">
        <f>VLOOKUP(Table1[[#This Row],[Company ID]],MCompany[#All],2,FALSE)</f>
        <v>Urban Right</v>
      </c>
      <c r="J114" s="29" t="str">
        <f>VLOOKUP(Table1[[#This Row],[Customer code]],MCustomer[#All],2,FALSE)</f>
        <v>Erma</v>
      </c>
      <c r="K114" s="27" t="str">
        <f>VLOOKUP(Table1[[#This Row],[Article code]],MArticle[#All],2,FALSE)</f>
        <v>Women type T simple white</v>
      </c>
      <c r="L114" s="27" t="str">
        <f>VLOOKUP(Table1[[#This Row],[Company ID]],MCompany[#All],4,FALSE)</f>
        <v>America</v>
      </c>
      <c r="M114" s="28">
        <f>IF(Table1[[#This Row],[Region]]="Europe",VLOOKUP(MONTH(Table1[[#This Row],[Sales Document]]),MExchange[#All],2,FALSE),1)*Table1[[#This Row],[Sales Value]]</f>
        <v>1440</v>
      </c>
    </row>
    <row r="115" spans="1:13" x14ac:dyDescent="0.25">
      <c r="A115" t="s">
        <v>28</v>
      </c>
      <c r="B115">
        <v>65662</v>
      </c>
      <c r="C115">
        <v>43388</v>
      </c>
      <c r="D115">
        <v>8020</v>
      </c>
      <c r="E115">
        <v>104</v>
      </c>
      <c r="G115">
        <v>110</v>
      </c>
      <c r="H115">
        <v>1320</v>
      </c>
      <c r="I115" s="27" t="str">
        <f>VLOOKUP(Table1[[#This Row],[Company ID]],MCompany[#All],2,FALSE)</f>
        <v>Urban Right</v>
      </c>
      <c r="J115" s="29" t="str">
        <f>VLOOKUP(Table1[[#This Row],[Customer code]],MCustomer[#All],2,FALSE)</f>
        <v>Erma</v>
      </c>
      <c r="K115" s="27" t="str">
        <f>VLOOKUP(Table1[[#This Row],[Article code]],MArticle[#All],2,FALSE)</f>
        <v>Women type T simple black</v>
      </c>
      <c r="L115" s="27" t="str">
        <f>VLOOKUP(Table1[[#This Row],[Company ID]],MCompany[#All],4,FALSE)</f>
        <v>America</v>
      </c>
      <c r="M115" s="28">
        <f>IF(Table1[[#This Row],[Region]]="Europe",VLOOKUP(MONTH(Table1[[#This Row],[Sales Document]]),MExchange[#All],2,FALSE),1)*Table1[[#This Row],[Sales Value]]</f>
        <v>1320</v>
      </c>
    </row>
    <row r="116" spans="1:13" x14ac:dyDescent="0.25">
      <c r="A116" t="s">
        <v>28</v>
      </c>
      <c r="B116">
        <v>65666</v>
      </c>
      <c r="C116">
        <v>43388</v>
      </c>
      <c r="D116">
        <v>8010</v>
      </c>
      <c r="E116">
        <v>103</v>
      </c>
      <c r="G116">
        <v>120</v>
      </c>
      <c r="H116">
        <v>1440</v>
      </c>
      <c r="I116" s="27" t="str">
        <f>VLOOKUP(Table1[[#This Row],[Company ID]],MCompany[#All],2,FALSE)</f>
        <v>Urban Right</v>
      </c>
      <c r="J116" s="29" t="str">
        <f>VLOOKUP(Table1[[#This Row],[Customer code]],MCustomer[#All],2,FALSE)</f>
        <v>Dellicia</v>
      </c>
      <c r="K116" s="27" t="str">
        <f>VLOOKUP(Table1[[#This Row],[Article code]],MArticle[#All],2,FALSE)</f>
        <v>Women type T simple white</v>
      </c>
      <c r="L116" s="27" t="str">
        <f>VLOOKUP(Table1[[#This Row],[Company ID]],MCompany[#All],4,FALSE)</f>
        <v>America</v>
      </c>
      <c r="M116" s="28">
        <f>IF(Table1[[#This Row],[Region]]="Europe",VLOOKUP(MONTH(Table1[[#This Row],[Sales Document]]),MExchange[#All],2,FALSE),1)*Table1[[#This Row],[Sales Value]]</f>
        <v>1440</v>
      </c>
    </row>
    <row r="117" spans="1:13" x14ac:dyDescent="0.25">
      <c r="A117" t="s">
        <v>28</v>
      </c>
      <c r="B117">
        <v>65666</v>
      </c>
      <c r="C117">
        <v>43388</v>
      </c>
      <c r="D117">
        <v>8010</v>
      </c>
      <c r="E117">
        <v>104</v>
      </c>
      <c r="G117">
        <v>140</v>
      </c>
      <c r="H117">
        <v>1680</v>
      </c>
      <c r="I117" s="27" t="str">
        <f>VLOOKUP(Table1[[#This Row],[Company ID]],MCompany[#All],2,FALSE)</f>
        <v>Urban Right</v>
      </c>
      <c r="J117" s="29" t="str">
        <f>VLOOKUP(Table1[[#This Row],[Customer code]],MCustomer[#All],2,FALSE)</f>
        <v>Dellicia</v>
      </c>
      <c r="K117" s="27" t="str">
        <f>VLOOKUP(Table1[[#This Row],[Article code]],MArticle[#All],2,FALSE)</f>
        <v>Women type T simple black</v>
      </c>
      <c r="L117" s="27" t="str">
        <f>VLOOKUP(Table1[[#This Row],[Company ID]],MCompany[#All],4,FALSE)</f>
        <v>America</v>
      </c>
      <c r="M117" s="28">
        <f>IF(Table1[[#This Row],[Region]]="Europe",VLOOKUP(MONTH(Table1[[#This Row],[Sales Document]]),MExchange[#All],2,FALSE),1)*Table1[[#This Row],[Sales Value]]</f>
        <v>1680</v>
      </c>
    </row>
    <row r="118" spans="1:13" x14ac:dyDescent="0.25">
      <c r="A118" t="s">
        <v>28</v>
      </c>
      <c r="B118">
        <v>65666</v>
      </c>
      <c r="C118">
        <v>43388</v>
      </c>
      <c r="D118">
        <v>8010</v>
      </c>
      <c r="E118">
        <v>105</v>
      </c>
      <c r="G118">
        <v>160</v>
      </c>
      <c r="H118">
        <v>1600</v>
      </c>
      <c r="I118" s="27" t="str">
        <f>VLOOKUP(Table1[[#This Row],[Company ID]],MCompany[#All],2,FALSE)</f>
        <v>Urban Right</v>
      </c>
      <c r="J118" s="29" t="str">
        <f>VLOOKUP(Table1[[#This Row],[Customer code]],MCustomer[#All],2,FALSE)</f>
        <v>Dellicia</v>
      </c>
      <c r="K118" s="27" t="str">
        <f>VLOOKUP(Table1[[#This Row],[Article code]],MArticle[#All],2,FALSE)</f>
        <v>Women crop top black</v>
      </c>
      <c r="L118" s="27" t="str">
        <f>VLOOKUP(Table1[[#This Row],[Company ID]],MCompany[#All],4,FALSE)</f>
        <v>America</v>
      </c>
      <c r="M118" s="28">
        <f>IF(Table1[[#This Row],[Region]]="Europe",VLOOKUP(MONTH(Table1[[#This Row],[Sales Document]]),MExchange[#All],2,FALSE),1)*Table1[[#This Row],[Sales Value]]</f>
        <v>1600</v>
      </c>
    </row>
    <row r="119" spans="1:13" x14ac:dyDescent="0.25">
      <c r="A119" t="s">
        <v>28</v>
      </c>
      <c r="B119">
        <v>65666</v>
      </c>
      <c r="C119">
        <v>43388</v>
      </c>
      <c r="D119">
        <v>8020</v>
      </c>
      <c r="E119">
        <v>107</v>
      </c>
      <c r="G119">
        <v>120</v>
      </c>
      <c r="H119">
        <v>600</v>
      </c>
      <c r="I119" s="27" t="str">
        <f>VLOOKUP(Table1[[#This Row],[Company ID]],MCompany[#All],2,FALSE)</f>
        <v>Urban Right</v>
      </c>
      <c r="J119" s="29" t="str">
        <f>VLOOKUP(Table1[[#This Row],[Customer code]],MCustomer[#All],2,FALSE)</f>
        <v>Erma</v>
      </c>
      <c r="K119" s="27" t="str">
        <f>VLOOKUP(Table1[[#This Row],[Article code]],MArticle[#All],2,FALSE)</f>
        <v>Women basics</v>
      </c>
      <c r="L119" s="27" t="str">
        <f>VLOOKUP(Table1[[#This Row],[Company ID]],MCompany[#All],4,FALSE)</f>
        <v>America</v>
      </c>
      <c r="M119" s="28">
        <f>IF(Table1[[#This Row],[Region]]="Europe",VLOOKUP(MONTH(Table1[[#This Row],[Sales Document]]),MExchange[#All],2,FALSE),1)*Table1[[#This Row],[Sales Value]]</f>
        <v>600</v>
      </c>
    </row>
    <row r="120" spans="1:13" x14ac:dyDescent="0.25">
      <c r="A120" t="s">
        <v>28</v>
      </c>
      <c r="B120">
        <v>65666</v>
      </c>
      <c r="C120">
        <v>43388</v>
      </c>
      <c r="D120">
        <v>8020</v>
      </c>
      <c r="E120">
        <v>103</v>
      </c>
      <c r="G120">
        <v>200</v>
      </c>
      <c r="H120">
        <v>2400</v>
      </c>
      <c r="I120" s="27" t="str">
        <f>VLOOKUP(Table1[[#This Row],[Company ID]],MCompany[#All],2,FALSE)</f>
        <v>Urban Right</v>
      </c>
      <c r="J120" s="29" t="str">
        <f>VLOOKUP(Table1[[#This Row],[Customer code]],MCustomer[#All],2,FALSE)</f>
        <v>Erma</v>
      </c>
      <c r="K120" s="27" t="str">
        <f>VLOOKUP(Table1[[#This Row],[Article code]],MArticle[#All],2,FALSE)</f>
        <v>Women type T simple white</v>
      </c>
      <c r="L120" s="27" t="str">
        <f>VLOOKUP(Table1[[#This Row],[Company ID]],MCompany[#All],4,FALSE)</f>
        <v>America</v>
      </c>
      <c r="M120" s="28">
        <f>IF(Table1[[#This Row],[Region]]="Europe",VLOOKUP(MONTH(Table1[[#This Row],[Sales Document]]),MExchange[#All],2,FALSE),1)*Table1[[#This Row],[Sales Value]]</f>
        <v>2400</v>
      </c>
    </row>
    <row r="121" spans="1:13" x14ac:dyDescent="0.25">
      <c r="A121" t="s">
        <v>28</v>
      </c>
      <c r="B121">
        <v>66015</v>
      </c>
      <c r="C121">
        <v>43383</v>
      </c>
      <c r="D121">
        <v>8010</v>
      </c>
      <c r="E121">
        <v>103</v>
      </c>
      <c r="G121">
        <v>140</v>
      </c>
      <c r="H121">
        <v>1680</v>
      </c>
      <c r="I121" s="27" t="str">
        <f>VLOOKUP(Table1[[#This Row],[Company ID]],MCompany[#All],2,FALSE)</f>
        <v>Urban Right</v>
      </c>
      <c r="J121" s="29" t="str">
        <f>VLOOKUP(Table1[[#This Row],[Customer code]],MCustomer[#All],2,FALSE)</f>
        <v>Dellicia</v>
      </c>
      <c r="K121" s="27" t="str">
        <f>VLOOKUP(Table1[[#This Row],[Article code]],MArticle[#All],2,FALSE)</f>
        <v>Women type T simple white</v>
      </c>
      <c r="L121" s="27" t="str">
        <f>VLOOKUP(Table1[[#This Row],[Company ID]],MCompany[#All],4,FALSE)</f>
        <v>America</v>
      </c>
      <c r="M121" s="28">
        <f>IF(Table1[[#This Row],[Region]]="Europe",VLOOKUP(MONTH(Table1[[#This Row],[Sales Document]]),MExchange[#All],2,FALSE),1)*Table1[[#This Row],[Sales Value]]</f>
        <v>1680</v>
      </c>
    </row>
    <row r="122" spans="1:13" x14ac:dyDescent="0.25">
      <c r="A122" t="s">
        <v>28</v>
      </c>
      <c r="B122">
        <v>66015</v>
      </c>
      <c r="C122">
        <v>43383</v>
      </c>
      <c r="D122">
        <v>8010</v>
      </c>
      <c r="E122">
        <v>104</v>
      </c>
      <c r="G122">
        <v>140</v>
      </c>
      <c r="H122">
        <v>1680</v>
      </c>
      <c r="I122" s="27" t="str">
        <f>VLOOKUP(Table1[[#This Row],[Company ID]],MCompany[#All],2,FALSE)</f>
        <v>Urban Right</v>
      </c>
      <c r="J122" s="29" t="str">
        <f>VLOOKUP(Table1[[#This Row],[Customer code]],MCustomer[#All],2,FALSE)</f>
        <v>Dellicia</v>
      </c>
      <c r="K122" s="27" t="str">
        <f>VLOOKUP(Table1[[#This Row],[Article code]],MArticle[#All],2,FALSE)</f>
        <v>Women type T simple black</v>
      </c>
      <c r="L122" s="27" t="str">
        <f>VLOOKUP(Table1[[#This Row],[Company ID]],MCompany[#All],4,FALSE)</f>
        <v>America</v>
      </c>
      <c r="M122" s="28">
        <f>IF(Table1[[#This Row],[Region]]="Europe",VLOOKUP(MONTH(Table1[[#This Row],[Sales Document]]),MExchange[#All],2,FALSE),1)*Table1[[#This Row],[Sales Value]]</f>
        <v>1680</v>
      </c>
    </row>
    <row r="123" spans="1:13" x14ac:dyDescent="0.25">
      <c r="A123" t="s">
        <v>28</v>
      </c>
      <c r="B123">
        <v>66017</v>
      </c>
      <c r="C123">
        <v>43386</v>
      </c>
      <c r="D123">
        <v>8010</v>
      </c>
      <c r="E123">
        <v>103</v>
      </c>
      <c r="G123">
        <v>140</v>
      </c>
      <c r="H123">
        <v>1680</v>
      </c>
      <c r="I123" s="27" t="str">
        <f>VLOOKUP(Table1[[#This Row],[Company ID]],MCompany[#All],2,FALSE)</f>
        <v>Urban Right</v>
      </c>
      <c r="J123" s="29" t="str">
        <f>VLOOKUP(Table1[[#This Row],[Customer code]],MCustomer[#All],2,FALSE)</f>
        <v>Dellicia</v>
      </c>
      <c r="K123" s="27" t="str">
        <f>VLOOKUP(Table1[[#This Row],[Article code]],MArticle[#All],2,FALSE)</f>
        <v>Women type T simple white</v>
      </c>
      <c r="L123" s="27" t="str">
        <f>VLOOKUP(Table1[[#This Row],[Company ID]],MCompany[#All],4,FALSE)</f>
        <v>America</v>
      </c>
      <c r="M123" s="28">
        <f>IF(Table1[[#This Row],[Region]]="Europe",VLOOKUP(MONTH(Table1[[#This Row],[Sales Document]]),MExchange[#All],2,FALSE),1)*Table1[[#This Row],[Sales Value]]</f>
        <v>1680</v>
      </c>
    </row>
    <row r="124" spans="1:13" x14ac:dyDescent="0.25">
      <c r="A124" t="s">
        <v>28</v>
      </c>
      <c r="B124">
        <v>66017</v>
      </c>
      <c r="C124">
        <v>43386</v>
      </c>
      <c r="D124">
        <v>8010</v>
      </c>
      <c r="E124">
        <v>104</v>
      </c>
      <c r="G124">
        <v>140</v>
      </c>
      <c r="H124">
        <v>1680</v>
      </c>
      <c r="I124" s="27" t="str">
        <f>VLOOKUP(Table1[[#This Row],[Company ID]],MCompany[#All],2,FALSE)</f>
        <v>Urban Right</v>
      </c>
      <c r="J124" s="29" t="str">
        <f>VLOOKUP(Table1[[#This Row],[Customer code]],MCustomer[#All],2,FALSE)</f>
        <v>Dellicia</v>
      </c>
      <c r="K124" s="27" t="str">
        <f>VLOOKUP(Table1[[#This Row],[Article code]],MArticle[#All],2,FALSE)</f>
        <v>Women type T simple black</v>
      </c>
      <c r="L124" s="27" t="str">
        <f>VLOOKUP(Table1[[#This Row],[Company ID]],MCompany[#All],4,FALSE)</f>
        <v>America</v>
      </c>
      <c r="M124" s="28">
        <f>IF(Table1[[#This Row],[Region]]="Europe",VLOOKUP(MONTH(Table1[[#This Row],[Sales Document]]),MExchange[#All],2,FALSE),1)*Table1[[#This Row],[Sales Value]]</f>
        <v>1680</v>
      </c>
    </row>
    <row r="125" spans="1:13" x14ac:dyDescent="0.25">
      <c r="A125" t="s">
        <v>28</v>
      </c>
      <c r="B125">
        <v>66016</v>
      </c>
      <c r="C125">
        <v>43387</v>
      </c>
      <c r="D125">
        <v>8020</v>
      </c>
      <c r="E125">
        <v>103</v>
      </c>
      <c r="G125">
        <v>120</v>
      </c>
      <c r="H125">
        <v>1440</v>
      </c>
      <c r="I125" s="27" t="str">
        <f>VLOOKUP(Table1[[#This Row],[Company ID]],MCompany[#All],2,FALSE)</f>
        <v>Urban Right</v>
      </c>
      <c r="J125" s="29" t="str">
        <f>VLOOKUP(Table1[[#This Row],[Customer code]],MCustomer[#All],2,FALSE)</f>
        <v>Erma</v>
      </c>
      <c r="K125" s="27" t="str">
        <f>VLOOKUP(Table1[[#This Row],[Article code]],MArticle[#All],2,FALSE)</f>
        <v>Women type T simple white</v>
      </c>
      <c r="L125" s="27" t="str">
        <f>VLOOKUP(Table1[[#This Row],[Company ID]],MCompany[#All],4,FALSE)</f>
        <v>America</v>
      </c>
      <c r="M125" s="28">
        <f>IF(Table1[[#This Row],[Region]]="Europe",VLOOKUP(MONTH(Table1[[#This Row],[Sales Document]]),MExchange[#All],2,FALSE),1)*Table1[[#This Row],[Sales Value]]</f>
        <v>1440</v>
      </c>
    </row>
    <row r="126" spans="1:13" x14ac:dyDescent="0.25">
      <c r="A126" t="s">
        <v>28</v>
      </c>
      <c r="B126">
        <v>66016</v>
      </c>
      <c r="C126">
        <v>43387</v>
      </c>
      <c r="D126">
        <v>8020</v>
      </c>
      <c r="E126">
        <v>104</v>
      </c>
      <c r="G126">
        <v>130</v>
      </c>
      <c r="H126">
        <v>1560</v>
      </c>
      <c r="I126" s="27" t="str">
        <f>VLOOKUP(Table1[[#This Row],[Company ID]],MCompany[#All],2,FALSE)</f>
        <v>Urban Right</v>
      </c>
      <c r="J126" s="29" t="str">
        <f>VLOOKUP(Table1[[#This Row],[Customer code]],MCustomer[#All],2,FALSE)</f>
        <v>Erma</v>
      </c>
      <c r="K126" s="27" t="str">
        <f>VLOOKUP(Table1[[#This Row],[Article code]],MArticle[#All],2,FALSE)</f>
        <v>Women type T simple black</v>
      </c>
      <c r="L126" s="27" t="str">
        <f>VLOOKUP(Table1[[#This Row],[Company ID]],MCompany[#All],4,FALSE)</f>
        <v>America</v>
      </c>
      <c r="M126" s="28">
        <f>IF(Table1[[#This Row],[Region]]="Europe",VLOOKUP(MONTH(Table1[[#This Row],[Sales Document]]),MExchange[#All],2,FALSE),1)*Table1[[#This Row],[Sales Value]]</f>
        <v>1560</v>
      </c>
    </row>
    <row r="127" spans="1:13" x14ac:dyDescent="0.25">
      <c r="A127" t="s">
        <v>28</v>
      </c>
      <c r="B127">
        <v>66016</v>
      </c>
      <c r="C127">
        <v>43387</v>
      </c>
      <c r="D127">
        <v>8020</v>
      </c>
      <c r="E127">
        <v>105</v>
      </c>
      <c r="G127">
        <v>120</v>
      </c>
      <c r="H127">
        <v>1200</v>
      </c>
      <c r="I127" s="27" t="str">
        <f>VLOOKUP(Table1[[#This Row],[Company ID]],MCompany[#All],2,FALSE)</f>
        <v>Urban Right</v>
      </c>
      <c r="J127" s="29" t="str">
        <f>VLOOKUP(Table1[[#This Row],[Customer code]],MCustomer[#All],2,FALSE)</f>
        <v>Erma</v>
      </c>
      <c r="K127" s="27" t="str">
        <f>VLOOKUP(Table1[[#This Row],[Article code]],MArticle[#All],2,FALSE)</f>
        <v>Women crop top black</v>
      </c>
      <c r="L127" s="27" t="str">
        <f>VLOOKUP(Table1[[#This Row],[Company ID]],MCompany[#All],4,FALSE)</f>
        <v>America</v>
      </c>
      <c r="M127" s="28">
        <f>IF(Table1[[#This Row],[Region]]="Europe",VLOOKUP(MONTH(Table1[[#This Row],[Sales Document]]),MExchange[#All],2,FALSE),1)*Table1[[#This Row],[Sales Value]]</f>
        <v>1200</v>
      </c>
    </row>
    <row r="128" spans="1:13" x14ac:dyDescent="0.25">
      <c r="A128" t="s">
        <v>28</v>
      </c>
      <c r="B128">
        <v>68097</v>
      </c>
      <c r="C128">
        <v>43390</v>
      </c>
      <c r="D128">
        <v>8010</v>
      </c>
      <c r="E128">
        <v>104</v>
      </c>
      <c r="G128">
        <v>140</v>
      </c>
      <c r="H128">
        <v>1680</v>
      </c>
      <c r="I128" s="27" t="str">
        <f>VLOOKUP(Table1[[#This Row],[Company ID]],MCompany[#All],2,FALSE)</f>
        <v>Urban Right</v>
      </c>
      <c r="J128" s="29" t="str">
        <f>VLOOKUP(Table1[[#This Row],[Customer code]],MCustomer[#All],2,FALSE)</f>
        <v>Dellicia</v>
      </c>
      <c r="K128" s="27" t="str">
        <f>VLOOKUP(Table1[[#This Row],[Article code]],MArticle[#All],2,FALSE)</f>
        <v>Women type T simple black</v>
      </c>
      <c r="L128" s="27" t="str">
        <f>VLOOKUP(Table1[[#This Row],[Company ID]],MCompany[#All],4,FALSE)</f>
        <v>America</v>
      </c>
      <c r="M128" s="28">
        <f>IF(Table1[[#This Row],[Region]]="Europe",VLOOKUP(MONTH(Table1[[#This Row],[Sales Document]]),MExchange[#All],2,FALSE),1)*Table1[[#This Row],[Sales Value]]</f>
        <v>1680</v>
      </c>
    </row>
    <row r="129" spans="1:13" x14ac:dyDescent="0.25">
      <c r="A129" t="s">
        <v>28</v>
      </c>
      <c r="B129">
        <v>68097</v>
      </c>
      <c r="C129">
        <v>43390</v>
      </c>
      <c r="D129">
        <v>8010</v>
      </c>
      <c r="E129">
        <v>105</v>
      </c>
      <c r="G129">
        <v>130</v>
      </c>
      <c r="H129">
        <v>1300</v>
      </c>
      <c r="I129" s="27" t="str">
        <f>VLOOKUP(Table1[[#This Row],[Company ID]],MCompany[#All],2,FALSE)</f>
        <v>Urban Right</v>
      </c>
      <c r="J129" s="29" t="str">
        <f>VLOOKUP(Table1[[#This Row],[Customer code]],MCustomer[#All],2,FALSE)</f>
        <v>Dellicia</v>
      </c>
      <c r="K129" s="27" t="str">
        <f>VLOOKUP(Table1[[#This Row],[Article code]],MArticle[#All],2,FALSE)</f>
        <v>Women crop top black</v>
      </c>
      <c r="L129" s="27" t="str">
        <f>VLOOKUP(Table1[[#This Row],[Company ID]],MCompany[#All],4,FALSE)</f>
        <v>America</v>
      </c>
      <c r="M129" s="28">
        <f>IF(Table1[[#This Row],[Region]]="Europe",VLOOKUP(MONTH(Table1[[#This Row],[Sales Document]]),MExchange[#All],2,FALSE),1)*Table1[[#This Row],[Sales Value]]</f>
        <v>1300</v>
      </c>
    </row>
    <row r="130" spans="1:13" x14ac:dyDescent="0.25">
      <c r="A130" t="s">
        <v>28</v>
      </c>
      <c r="B130">
        <v>68099</v>
      </c>
      <c r="C130">
        <v>43390</v>
      </c>
      <c r="D130">
        <v>8020</v>
      </c>
      <c r="E130">
        <v>104</v>
      </c>
      <c r="G130">
        <v>120</v>
      </c>
      <c r="H130">
        <v>1440</v>
      </c>
      <c r="I130" s="27" t="str">
        <f>VLOOKUP(Table1[[#This Row],[Company ID]],MCompany[#All],2,FALSE)</f>
        <v>Urban Right</v>
      </c>
      <c r="J130" s="29" t="str">
        <f>VLOOKUP(Table1[[#This Row],[Customer code]],MCustomer[#All],2,FALSE)</f>
        <v>Erma</v>
      </c>
      <c r="K130" s="27" t="str">
        <f>VLOOKUP(Table1[[#This Row],[Article code]],MArticle[#All],2,FALSE)</f>
        <v>Women type T simple black</v>
      </c>
      <c r="L130" s="27" t="str">
        <f>VLOOKUP(Table1[[#This Row],[Company ID]],MCompany[#All],4,FALSE)</f>
        <v>America</v>
      </c>
      <c r="M130" s="28">
        <f>IF(Table1[[#This Row],[Region]]="Europe",VLOOKUP(MONTH(Table1[[#This Row],[Sales Document]]),MExchange[#All],2,FALSE),1)*Table1[[#This Row],[Sales Value]]</f>
        <v>1440</v>
      </c>
    </row>
    <row r="131" spans="1:13" x14ac:dyDescent="0.25">
      <c r="A131" t="s">
        <v>28</v>
      </c>
      <c r="B131">
        <v>68099</v>
      </c>
      <c r="C131">
        <v>43390</v>
      </c>
      <c r="D131">
        <v>8020</v>
      </c>
      <c r="E131">
        <v>105</v>
      </c>
      <c r="F131">
        <v>2</v>
      </c>
      <c r="G131">
        <v>140</v>
      </c>
      <c r="H131">
        <v>1400</v>
      </c>
      <c r="I131" s="27" t="str">
        <f>VLOOKUP(Table1[[#This Row],[Company ID]],MCompany[#All],2,FALSE)</f>
        <v>Urban Right</v>
      </c>
      <c r="J131" s="29" t="str">
        <f>VLOOKUP(Table1[[#This Row],[Customer code]],MCustomer[#All],2,FALSE)</f>
        <v>Erma</v>
      </c>
      <c r="K131" s="27" t="str">
        <f>VLOOKUP(Table1[[#This Row],[Article code]],MArticle[#All],2,FALSE)</f>
        <v>Women crop top black</v>
      </c>
      <c r="L131" s="27" t="str">
        <f>VLOOKUP(Table1[[#This Row],[Company ID]],MCompany[#All],4,FALSE)</f>
        <v>America</v>
      </c>
      <c r="M131" s="28">
        <f>IF(Table1[[#This Row],[Region]]="Europe",VLOOKUP(MONTH(Table1[[#This Row],[Sales Document]]),MExchange[#All],2,FALSE),1)*Table1[[#This Row],[Sales Value]]</f>
        <v>1400</v>
      </c>
    </row>
    <row r="132" spans="1:13" x14ac:dyDescent="0.25">
      <c r="A132" t="s">
        <v>28</v>
      </c>
      <c r="B132">
        <v>68099</v>
      </c>
      <c r="C132">
        <v>43390</v>
      </c>
      <c r="D132">
        <v>8020</v>
      </c>
      <c r="E132">
        <v>107</v>
      </c>
      <c r="G132">
        <v>170</v>
      </c>
      <c r="H132">
        <v>850</v>
      </c>
      <c r="I132" s="27" t="str">
        <f>VLOOKUP(Table1[[#This Row],[Company ID]],MCompany[#All],2,FALSE)</f>
        <v>Urban Right</v>
      </c>
      <c r="J132" s="29" t="str">
        <f>VLOOKUP(Table1[[#This Row],[Customer code]],MCustomer[#All],2,FALSE)</f>
        <v>Erma</v>
      </c>
      <c r="K132" s="27" t="str">
        <f>VLOOKUP(Table1[[#This Row],[Article code]],MArticle[#All],2,FALSE)</f>
        <v>Women basics</v>
      </c>
      <c r="L132" s="27" t="str">
        <f>VLOOKUP(Table1[[#This Row],[Company ID]],MCompany[#All],4,FALSE)</f>
        <v>America</v>
      </c>
      <c r="M132" s="28">
        <f>IF(Table1[[#This Row],[Region]]="Europe",VLOOKUP(MONTH(Table1[[#This Row],[Sales Document]]),MExchange[#All],2,FALSE),1)*Table1[[#This Row],[Sales Value]]</f>
        <v>850</v>
      </c>
    </row>
    <row r="133" spans="1:13" x14ac:dyDescent="0.25">
      <c r="A133" t="s">
        <v>28</v>
      </c>
      <c r="B133">
        <v>68101</v>
      </c>
      <c r="C133">
        <v>43390</v>
      </c>
      <c r="D133">
        <v>8010</v>
      </c>
      <c r="E133">
        <v>104</v>
      </c>
      <c r="G133">
        <v>190</v>
      </c>
      <c r="H133">
        <v>2280</v>
      </c>
      <c r="I133" s="27" t="str">
        <f>VLOOKUP(Table1[[#This Row],[Company ID]],MCompany[#All],2,FALSE)</f>
        <v>Urban Right</v>
      </c>
      <c r="J133" s="29" t="str">
        <f>VLOOKUP(Table1[[#This Row],[Customer code]],MCustomer[#All],2,FALSE)</f>
        <v>Dellicia</v>
      </c>
      <c r="K133" s="27" t="str">
        <f>VLOOKUP(Table1[[#This Row],[Article code]],MArticle[#All],2,FALSE)</f>
        <v>Women type T simple black</v>
      </c>
      <c r="L133" s="27" t="str">
        <f>VLOOKUP(Table1[[#This Row],[Company ID]],MCompany[#All],4,FALSE)</f>
        <v>America</v>
      </c>
      <c r="M133" s="28">
        <f>IF(Table1[[#This Row],[Region]]="Europe",VLOOKUP(MONTH(Table1[[#This Row],[Sales Document]]),MExchange[#All],2,FALSE),1)*Table1[[#This Row],[Sales Value]]</f>
        <v>2280</v>
      </c>
    </row>
    <row r="134" spans="1:13" x14ac:dyDescent="0.25">
      <c r="A134" t="s">
        <v>28</v>
      </c>
      <c r="B134">
        <v>68101</v>
      </c>
      <c r="C134">
        <v>43390</v>
      </c>
      <c r="D134">
        <v>8010</v>
      </c>
      <c r="E134">
        <v>105</v>
      </c>
      <c r="G134">
        <v>140</v>
      </c>
      <c r="H134">
        <v>1400</v>
      </c>
      <c r="I134" s="27" t="str">
        <f>VLOOKUP(Table1[[#This Row],[Company ID]],MCompany[#All],2,FALSE)</f>
        <v>Urban Right</v>
      </c>
      <c r="J134" s="29" t="str">
        <f>VLOOKUP(Table1[[#This Row],[Customer code]],MCustomer[#All],2,FALSE)</f>
        <v>Dellicia</v>
      </c>
      <c r="K134" s="27" t="str">
        <f>VLOOKUP(Table1[[#This Row],[Article code]],MArticle[#All],2,FALSE)</f>
        <v>Women crop top black</v>
      </c>
      <c r="L134" s="27" t="str">
        <f>VLOOKUP(Table1[[#This Row],[Company ID]],MCompany[#All],4,FALSE)</f>
        <v>America</v>
      </c>
      <c r="M134" s="28">
        <f>IF(Table1[[#This Row],[Region]]="Europe",VLOOKUP(MONTH(Table1[[#This Row],[Sales Document]]),MExchange[#All],2,FALSE),1)*Table1[[#This Row],[Sales Value]]</f>
        <v>1400</v>
      </c>
    </row>
    <row r="135" spans="1:13" x14ac:dyDescent="0.25">
      <c r="A135" t="s">
        <v>28</v>
      </c>
      <c r="B135">
        <v>65627</v>
      </c>
      <c r="C135">
        <v>43394</v>
      </c>
      <c r="D135">
        <v>8020</v>
      </c>
      <c r="E135">
        <v>103</v>
      </c>
      <c r="G135">
        <v>140</v>
      </c>
      <c r="H135">
        <v>1680</v>
      </c>
      <c r="I135" s="27" t="str">
        <f>VLOOKUP(Table1[[#This Row],[Company ID]],MCompany[#All],2,FALSE)</f>
        <v>Urban Right</v>
      </c>
      <c r="J135" s="29" t="str">
        <f>VLOOKUP(Table1[[#This Row],[Customer code]],MCustomer[#All],2,FALSE)</f>
        <v>Erma</v>
      </c>
      <c r="K135" s="27" t="str">
        <f>VLOOKUP(Table1[[#This Row],[Article code]],MArticle[#All],2,FALSE)</f>
        <v>Women type T simple white</v>
      </c>
      <c r="L135" s="27" t="str">
        <f>VLOOKUP(Table1[[#This Row],[Company ID]],MCompany[#All],4,FALSE)</f>
        <v>America</v>
      </c>
      <c r="M135" s="28">
        <f>IF(Table1[[#This Row],[Region]]="Europe",VLOOKUP(MONTH(Table1[[#This Row],[Sales Document]]),MExchange[#All],2,FALSE),1)*Table1[[#This Row],[Sales Value]]</f>
        <v>1680</v>
      </c>
    </row>
    <row r="136" spans="1:13" x14ac:dyDescent="0.25">
      <c r="A136" t="s">
        <v>28</v>
      </c>
      <c r="B136">
        <v>65627</v>
      </c>
      <c r="C136">
        <v>43394</v>
      </c>
      <c r="D136">
        <v>8020</v>
      </c>
      <c r="E136">
        <v>104</v>
      </c>
      <c r="F136">
        <v>3</v>
      </c>
      <c r="G136">
        <v>160</v>
      </c>
      <c r="H136">
        <v>1920</v>
      </c>
      <c r="I136" s="27" t="str">
        <f>VLOOKUP(Table1[[#This Row],[Company ID]],MCompany[#All],2,FALSE)</f>
        <v>Urban Right</v>
      </c>
      <c r="J136" s="29" t="str">
        <f>VLOOKUP(Table1[[#This Row],[Customer code]],MCustomer[#All],2,FALSE)</f>
        <v>Erma</v>
      </c>
      <c r="K136" s="27" t="str">
        <f>VLOOKUP(Table1[[#This Row],[Article code]],MArticle[#All],2,FALSE)</f>
        <v>Women type T simple black</v>
      </c>
      <c r="L136" s="27" t="str">
        <f>VLOOKUP(Table1[[#This Row],[Company ID]],MCompany[#All],4,FALSE)</f>
        <v>America</v>
      </c>
      <c r="M136" s="28">
        <f>IF(Table1[[#This Row],[Region]]="Europe",VLOOKUP(MONTH(Table1[[#This Row],[Sales Document]]),MExchange[#All],2,FALSE),1)*Table1[[#This Row],[Sales Value]]</f>
        <v>1920</v>
      </c>
    </row>
    <row r="137" spans="1:13" x14ac:dyDescent="0.25">
      <c r="A137" t="s">
        <v>28</v>
      </c>
      <c r="B137">
        <v>65629</v>
      </c>
      <c r="C137">
        <v>43394</v>
      </c>
      <c r="D137">
        <v>8010</v>
      </c>
      <c r="E137">
        <v>103</v>
      </c>
      <c r="G137">
        <v>190</v>
      </c>
      <c r="H137">
        <v>2280</v>
      </c>
      <c r="I137" s="27" t="str">
        <f>VLOOKUP(Table1[[#This Row],[Company ID]],MCompany[#All],2,FALSE)</f>
        <v>Urban Right</v>
      </c>
      <c r="J137" s="29" t="str">
        <f>VLOOKUP(Table1[[#This Row],[Customer code]],MCustomer[#All],2,FALSE)</f>
        <v>Dellicia</v>
      </c>
      <c r="K137" s="27" t="str">
        <f>VLOOKUP(Table1[[#This Row],[Article code]],MArticle[#All],2,FALSE)</f>
        <v>Women type T simple white</v>
      </c>
      <c r="L137" s="27" t="str">
        <f>VLOOKUP(Table1[[#This Row],[Company ID]],MCompany[#All],4,FALSE)</f>
        <v>America</v>
      </c>
      <c r="M137" s="28">
        <f>IF(Table1[[#This Row],[Region]]="Europe",VLOOKUP(MONTH(Table1[[#This Row],[Sales Document]]),MExchange[#All],2,FALSE),1)*Table1[[#This Row],[Sales Value]]</f>
        <v>2280</v>
      </c>
    </row>
    <row r="138" spans="1:13" x14ac:dyDescent="0.25">
      <c r="A138" t="s">
        <v>28</v>
      </c>
      <c r="B138">
        <v>65629</v>
      </c>
      <c r="C138">
        <v>43394</v>
      </c>
      <c r="D138">
        <v>8010</v>
      </c>
      <c r="E138">
        <v>104</v>
      </c>
      <c r="G138">
        <v>130</v>
      </c>
      <c r="H138">
        <v>1560</v>
      </c>
      <c r="I138" s="27" t="str">
        <f>VLOOKUP(Table1[[#This Row],[Company ID]],MCompany[#All],2,FALSE)</f>
        <v>Urban Right</v>
      </c>
      <c r="J138" s="29" t="str">
        <f>VLOOKUP(Table1[[#This Row],[Customer code]],MCustomer[#All],2,FALSE)</f>
        <v>Dellicia</v>
      </c>
      <c r="K138" s="27" t="str">
        <f>VLOOKUP(Table1[[#This Row],[Article code]],MArticle[#All],2,FALSE)</f>
        <v>Women type T simple black</v>
      </c>
      <c r="L138" s="27" t="str">
        <f>VLOOKUP(Table1[[#This Row],[Company ID]],MCompany[#All],4,FALSE)</f>
        <v>America</v>
      </c>
      <c r="M138" s="28">
        <f>IF(Table1[[#This Row],[Region]]="Europe",VLOOKUP(MONTH(Table1[[#This Row],[Sales Document]]),MExchange[#All],2,FALSE),1)*Table1[[#This Row],[Sales Value]]</f>
        <v>1560</v>
      </c>
    </row>
    <row r="139" spans="1:13" x14ac:dyDescent="0.25">
      <c r="A139" t="s">
        <v>28</v>
      </c>
      <c r="B139">
        <v>65629</v>
      </c>
      <c r="C139">
        <v>43394</v>
      </c>
      <c r="D139">
        <v>8010</v>
      </c>
      <c r="E139">
        <v>105</v>
      </c>
      <c r="G139">
        <v>140</v>
      </c>
      <c r="H139">
        <v>1400</v>
      </c>
      <c r="I139" s="27" t="str">
        <f>VLOOKUP(Table1[[#This Row],[Company ID]],MCompany[#All],2,FALSE)</f>
        <v>Urban Right</v>
      </c>
      <c r="J139" s="29" t="str">
        <f>VLOOKUP(Table1[[#This Row],[Customer code]],MCustomer[#All],2,FALSE)</f>
        <v>Dellicia</v>
      </c>
      <c r="K139" s="27" t="str">
        <f>VLOOKUP(Table1[[#This Row],[Article code]],MArticle[#All],2,FALSE)</f>
        <v>Women crop top black</v>
      </c>
      <c r="L139" s="27" t="str">
        <f>VLOOKUP(Table1[[#This Row],[Company ID]],MCompany[#All],4,FALSE)</f>
        <v>America</v>
      </c>
      <c r="M139" s="28">
        <f>IF(Table1[[#This Row],[Region]]="Europe",VLOOKUP(MONTH(Table1[[#This Row],[Sales Document]]),MExchange[#All],2,FALSE),1)*Table1[[#This Row],[Sales Value]]</f>
        <v>1400</v>
      </c>
    </row>
    <row r="140" spans="1:13" x14ac:dyDescent="0.25">
      <c r="A140" t="s">
        <v>28</v>
      </c>
      <c r="B140">
        <v>65631</v>
      </c>
      <c r="C140">
        <v>43394</v>
      </c>
      <c r="D140">
        <v>8020</v>
      </c>
      <c r="E140">
        <v>107</v>
      </c>
      <c r="G140">
        <v>190</v>
      </c>
      <c r="H140">
        <v>950</v>
      </c>
      <c r="I140" s="27" t="str">
        <f>VLOOKUP(Table1[[#This Row],[Company ID]],MCompany[#All],2,FALSE)</f>
        <v>Urban Right</v>
      </c>
      <c r="J140" s="29" t="str">
        <f>VLOOKUP(Table1[[#This Row],[Customer code]],MCustomer[#All],2,FALSE)</f>
        <v>Erma</v>
      </c>
      <c r="K140" s="27" t="str">
        <f>VLOOKUP(Table1[[#This Row],[Article code]],MArticle[#All],2,FALSE)</f>
        <v>Women basics</v>
      </c>
      <c r="L140" s="27" t="str">
        <f>VLOOKUP(Table1[[#This Row],[Company ID]],MCompany[#All],4,FALSE)</f>
        <v>America</v>
      </c>
      <c r="M140" s="28">
        <f>IF(Table1[[#This Row],[Region]]="Europe",VLOOKUP(MONTH(Table1[[#This Row],[Sales Document]]),MExchange[#All],2,FALSE),1)*Table1[[#This Row],[Sales Value]]</f>
        <v>950</v>
      </c>
    </row>
    <row r="141" spans="1:13" x14ac:dyDescent="0.25">
      <c r="A141" t="s">
        <v>28</v>
      </c>
      <c r="B141">
        <v>65631</v>
      </c>
      <c r="C141">
        <v>43394</v>
      </c>
      <c r="D141">
        <v>8020</v>
      </c>
      <c r="E141">
        <v>103</v>
      </c>
      <c r="G141">
        <v>120</v>
      </c>
      <c r="H141">
        <v>1440</v>
      </c>
      <c r="I141" s="27" t="str">
        <f>VLOOKUP(Table1[[#This Row],[Company ID]],MCompany[#All],2,FALSE)</f>
        <v>Urban Right</v>
      </c>
      <c r="J141" s="29" t="str">
        <f>VLOOKUP(Table1[[#This Row],[Customer code]],MCustomer[#All],2,FALSE)</f>
        <v>Erma</v>
      </c>
      <c r="K141" s="27" t="str">
        <f>VLOOKUP(Table1[[#This Row],[Article code]],MArticle[#All],2,FALSE)</f>
        <v>Women type T simple white</v>
      </c>
      <c r="L141" s="27" t="str">
        <f>VLOOKUP(Table1[[#This Row],[Company ID]],MCompany[#All],4,FALSE)</f>
        <v>America</v>
      </c>
      <c r="M141" s="28">
        <f>IF(Table1[[#This Row],[Region]]="Europe",VLOOKUP(MONTH(Table1[[#This Row],[Sales Document]]),MExchange[#All],2,FALSE),1)*Table1[[#This Row],[Sales Value]]</f>
        <v>1440</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dimension ref="A1:X79"/>
  <sheetViews>
    <sheetView showGridLines="0" topLeftCell="N1" zoomScaleNormal="100" workbookViewId="0">
      <selection activeCell="V3" sqref="V1:V1048576"/>
    </sheetView>
  </sheetViews>
  <sheetFormatPr defaultRowHeight="12.5" outlineLevelCol="7" x14ac:dyDescent="0.25"/>
  <cols>
    <col min="1" max="10" width="8.7265625" hidden="1" customWidth="1" outlineLevel="7"/>
    <col min="11" max="11" width="18.81640625" hidden="1" customWidth="1" outlineLevel="7"/>
    <col min="12" max="12" width="8.7265625" hidden="1" customWidth="1" outlineLevel="7"/>
    <col min="13" max="13" width="15.7265625" hidden="1" customWidth="1" outlineLevel="7"/>
    <col min="14" max="14" width="8.7265625" collapsed="1"/>
    <col min="15" max="15" width="13" bestFit="1" customWidth="1"/>
    <col min="16" max="16" width="19.90625" bestFit="1" customWidth="1"/>
    <col min="17" max="17" width="19.6328125" bestFit="1" customWidth="1"/>
    <col min="23" max="23" width="29.26953125" bestFit="1" customWidth="1"/>
    <col min="24" max="24" width="19.90625" style="38" bestFit="1" customWidth="1"/>
  </cols>
  <sheetData>
    <row r="1" spans="1:24" x14ac:dyDescent="0.25">
      <c r="A1" t="s">
        <v>39</v>
      </c>
      <c r="B1" t="s">
        <v>2</v>
      </c>
      <c r="C1" t="s">
        <v>40</v>
      </c>
      <c r="D1" t="s">
        <v>49</v>
      </c>
      <c r="E1" t="s">
        <v>52</v>
      </c>
      <c r="F1" t="s">
        <v>43</v>
      </c>
      <c r="G1" t="s">
        <v>41</v>
      </c>
      <c r="H1" t="s">
        <v>42</v>
      </c>
      <c r="I1" s="30" t="s">
        <v>35</v>
      </c>
      <c r="J1" s="30" t="s">
        <v>44</v>
      </c>
      <c r="K1" s="30" t="s">
        <v>0</v>
      </c>
      <c r="L1" s="30" t="s">
        <v>53</v>
      </c>
      <c r="M1" s="31" t="s">
        <v>123</v>
      </c>
      <c r="W1" s="32" t="s">
        <v>125</v>
      </c>
      <c r="X1" s="35" t="s">
        <v>124</v>
      </c>
    </row>
    <row r="2" spans="1:24" x14ac:dyDescent="0.25">
      <c r="A2" t="s">
        <v>29</v>
      </c>
      <c r="B2">
        <v>24030</v>
      </c>
      <c r="C2">
        <v>43375</v>
      </c>
      <c r="D2">
        <v>8020</v>
      </c>
      <c r="E2">
        <v>101</v>
      </c>
      <c r="F2">
        <v>1</v>
      </c>
      <c r="G2">
        <v>130</v>
      </c>
      <c r="H2">
        <v>1560</v>
      </c>
      <c r="I2" s="27" t="s">
        <v>46</v>
      </c>
      <c r="J2" s="29" t="s">
        <v>47</v>
      </c>
      <c r="K2" s="27" t="s">
        <v>6</v>
      </c>
      <c r="L2" s="27" t="s">
        <v>54</v>
      </c>
      <c r="M2" s="28">
        <v>1560</v>
      </c>
      <c r="W2" s="33" t="s">
        <v>128</v>
      </c>
      <c r="X2" s="35"/>
    </row>
    <row r="3" spans="1:24" x14ac:dyDescent="0.25">
      <c r="A3" t="s">
        <v>29</v>
      </c>
      <c r="B3">
        <v>24030</v>
      </c>
      <c r="C3">
        <v>43375</v>
      </c>
      <c r="D3">
        <v>8020</v>
      </c>
      <c r="E3">
        <v>102</v>
      </c>
      <c r="G3">
        <v>30</v>
      </c>
      <c r="H3">
        <v>360</v>
      </c>
      <c r="I3" s="27" t="s">
        <v>46</v>
      </c>
      <c r="J3" s="29" t="s">
        <v>47</v>
      </c>
      <c r="K3" s="27" t="s">
        <v>7</v>
      </c>
      <c r="L3" s="27" t="s">
        <v>54</v>
      </c>
      <c r="M3" s="28">
        <v>360</v>
      </c>
      <c r="O3" s="32" t="s">
        <v>125</v>
      </c>
      <c r="P3" s="35" t="s">
        <v>124</v>
      </c>
      <c r="Q3" t="s">
        <v>127</v>
      </c>
      <c r="W3" s="36" t="s">
        <v>128</v>
      </c>
      <c r="X3" s="35"/>
    </row>
    <row r="4" spans="1:24" x14ac:dyDescent="0.25">
      <c r="A4" t="s">
        <v>29</v>
      </c>
      <c r="B4">
        <v>24030</v>
      </c>
      <c r="C4">
        <v>43375</v>
      </c>
      <c r="D4">
        <v>8020</v>
      </c>
      <c r="E4">
        <v>106</v>
      </c>
      <c r="F4" t="s">
        <v>93</v>
      </c>
      <c r="G4">
        <v>60</v>
      </c>
      <c r="H4">
        <v>300</v>
      </c>
      <c r="I4" s="27" t="s">
        <v>46</v>
      </c>
      <c r="J4" s="29" t="s">
        <v>47</v>
      </c>
      <c r="K4" s="27" t="s">
        <v>5</v>
      </c>
      <c r="L4" s="27" t="s">
        <v>54</v>
      </c>
      <c r="M4" s="28">
        <v>300</v>
      </c>
      <c r="O4" s="33" t="s">
        <v>60</v>
      </c>
      <c r="P4" s="35">
        <v>14931.143759999999</v>
      </c>
      <c r="Q4" s="34">
        <v>0.12130812335387776</v>
      </c>
      <c r="W4" s="37" t="s">
        <v>128</v>
      </c>
      <c r="X4" s="35"/>
    </row>
    <row r="5" spans="1:24" x14ac:dyDescent="0.25">
      <c r="A5" t="s">
        <v>29</v>
      </c>
      <c r="B5">
        <v>24030</v>
      </c>
      <c r="C5">
        <v>43375</v>
      </c>
      <c r="D5">
        <v>8020</v>
      </c>
      <c r="E5">
        <v>108</v>
      </c>
      <c r="G5">
        <v>80</v>
      </c>
      <c r="H5">
        <v>2240</v>
      </c>
      <c r="I5" s="27" t="s">
        <v>46</v>
      </c>
      <c r="J5" s="29" t="s">
        <v>47</v>
      </c>
      <c r="K5" s="27" t="s">
        <v>11</v>
      </c>
      <c r="L5" s="27" t="s">
        <v>54</v>
      </c>
      <c r="M5" s="28">
        <v>2240</v>
      </c>
      <c r="O5" s="33" t="s">
        <v>47</v>
      </c>
      <c r="P5" s="35">
        <v>44800</v>
      </c>
      <c r="Q5" s="34">
        <v>0.36397773764745561</v>
      </c>
      <c r="W5" s="33" t="s">
        <v>46</v>
      </c>
      <c r="X5" s="35">
        <v>21200</v>
      </c>
    </row>
    <row r="6" spans="1:24" x14ac:dyDescent="0.25">
      <c r="A6" t="s">
        <v>29</v>
      </c>
      <c r="B6">
        <v>24031</v>
      </c>
      <c r="C6">
        <v>43381</v>
      </c>
      <c r="D6">
        <v>8020</v>
      </c>
      <c r="E6">
        <v>101</v>
      </c>
      <c r="F6" t="s">
        <v>93</v>
      </c>
      <c r="G6">
        <v>100</v>
      </c>
      <c r="H6">
        <v>1200</v>
      </c>
      <c r="I6" s="27" t="s">
        <v>46</v>
      </c>
      <c r="J6" s="29" t="s">
        <v>47</v>
      </c>
      <c r="K6" s="27" t="s">
        <v>6</v>
      </c>
      <c r="L6" s="27" t="s">
        <v>54</v>
      </c>
      <c r="M6" s="28">
        <v>1200</v>
      </c>
      <c r="O6" s="33" t="s">
        <v>45</v>
      </c>
      <c r="P6" s="35">
        <v>42500</v>
      </c>
      <c r="Q6" s="34">
        <v>0.34529138058073361</v>
      </c>
      <c r="W6" s="36" t="s">
        <v>47</v>
      </c>
      <c r="X6" s="35">
        <v>16180</v>
      </c>
    </row>
    <row r="7" spans="1:24" x14ac:dyDescent="0.25">
      <c r="A7" t="s">
        <v>29</v>
      </c>
      <c r="B7">
        <v>24031</v>
      </c>
      <c r="C7">
        <v>43381</v>
      </c>
      <c r="D7">
        <v>8020</v>
      </c>
      <c r="E7">
        <v>108</v>
      </c>
      <c r="F7" t="s">
        <v>93</v>
      </c>
      <c r="G7">
        <v>20</v>
      </c>
      <c r="H7">
        <v>560</v>
      </c>
      <c r="I7" s="27" t="s">
        <v>46</v>
      </c>
      <c r="J7" s="29" t="s">
        <v>47</v>
      </c>
      <c r="K7" s="27" t="s">
        <v>11</v>
      </c>
      <c r="L7" s="27" t="s">
        <v>54</v>
      </c>
      <c r="M7" s="28">
        <v>560</v>
      </c>
      <c r="O7" s="33" t="s">
        <v>61</v>
      </c>
      <c r="P7" s="35">
        <v>20853.307199999999</v>
      </c>
      <c r="Q7" s="34">
        <v>0.16942275841793297</v>
      </c>
      <c r="W7" s="37" t="s">
        <v>11</v>
      </c>
      <c r="X7" s="35">
        <v>3080</v>
      </c>
    </row>
    <row r="8" spans="1:24" x14ac:dyDescent="0.25">
      <c r="A8" t="s">
        <v>29</v>
      </c>
      <c r="B8">
        <v>24031</v>
      </c>
      <c r="C8">
        <v>43381</v>
      </c>
      <c r="D8">
        <v>8020</v>
      </c>
      <c r="E8">
        <v>113</v>
      </c>
      <c r="F8" t="s">
        <v>93</v>
      </c>
      <c r="G8">
        <v>100</v>
      </c>
      <c r="H8">
        <v>2500</v>
      </c>
      <c r="I8" s="27" t="s">
        <v>46</v>
      </c>
      <c r="J8" s="29" t="s">
        <v>47</v>
      </c>
      <c r="K8" s="27" t="s">
        <v>16</v>
      </c>
      <c r="L8" s="27" t="s">
        <v>54</v>
      </c>
      <c r="M8" s="28">
        <v>2500</v>
      </c>
      <c r="O8" s="33" t="s">
        <v>128</v>
      </c>
      <c r="P8" s="35"/>
      <c r="Q8" s="34">
        <v>0</v>
      </c>
      <c r="W8" s="37" t="s">
        <v>6</v>
      </c>
      <c r="X8" s="35">
        <v>4800</v>
      </c>
    </row>
    <row r="9" spans="1:24" x14ac:dyDescent="0.25">
      <c r="A9" t="s">
        <v>29</v>
      </c>
      <c r="B9">
        <v>28112</v>
      </c>
      <c r="C9">
        <v>43385</v>
      </c>
      <c r="D9">
        <v>8020</v>
      </c>
      <c r="E9">
        <v>114</v>
      </c>
      <c r="F9">
        <v>1</v>
      </c>
      <c r="G9">
        <v>50</v>
      </c>
      <c r="H9">
        <v>1250</v>
      </c>
      <c r="I9" s="27" t="s">
        <v>46</v>
      </c>
      <c r="J9" s="29" t="s">
        <v>47</v>
      </c>
      <c r="K9" s="27" t="s">
        <v>17</v>
      </c>
      <c r="L9" s="27" t="s">
        <v>54</v>
      </c>
      <c r="M9" s="28">
        <v>1250</v>
      </c>
      <c r="O9" s="33" t="s">
        <v>126</v>
      </c>
      <c r="P9" s="35">
        <v>123084.45096</v>
      </c>
      <c r="Q9" s="34">
        <v>1</v>
      </c>
      <c r="W9" s="37" t="s">
        <v>7</v>
      </c>
      <c r="X9" s="35">
        <v>1200</v>
      </c>
    </row>
    <row r="10" spans="1:24" x14ac:dyDescent="0.25">
      <c r="A10" t="s">
        <v>29</v>
      </c>
      <c r="B10">
        <v>28112</v>
      </c>
      <c r="C10">
        <v>43385</v>
      </c>
      <c r="D10">
        <v>8020</v>
      </c>
      <c r="E10">
        <v>101</v>
      </c>
      <c r="F10" t="s">
        <v>93</v>
      </c>
      <c r="G10">
        <v>40</v>
      </c>
      <c r="H10">
        <v>480</v>
      </c>
      <c r="I10" s="27" t="s">
        <v>46</v>
      </c>
      <c r="J10" s="29" t="s">
        <v>47</v>
      </c>
      <c r="K10" s="27" t="s">
        <v>6</v>
      </c>
      <c r="L10" s="27" t="s">
        <v>54</v>
      </c>
      <c r="M10" s="28">
        <v>480</v>
      </c>
      <c r="W10" s="37" t="s">
        <v>5</v>
      </c>
      <c r="X10" s="35">
        <v>650</v>
      </c>
    </row>
    <row r="11" spans="1:24" x14ac:dyDescent="0.25">
      <c r="A11" t="s">
        <v>29</v>
      </c>
      <c r="B11">
        <v>28112</v>
      </c>
      <c r="C11">
        <v>43385</v>
      </c>
      <c r="D11">
        <v>8020</v>
      </c>
      <c r="E11">
        <v>102</v>
      </c>
      <c r="G11">
        <v>70</v>
      </c>
      <c r="H11">
        <v>840</v>
      </c>
      <c r="I11" s="27" t="s">
        <v>46</v>
      </c>
      <c r="J11" s="29" t="s">
        <v>47</v>
      </c>
      <c r="K11" s="27" t="s">
        <v>7</v>
      </c>
      <c r="L11" s="27" t="s">
        <v>54</v>
      </c>
      <c r="M11" s="28">
        <v>840</v>
      </c>
      <c r="W11" s="37" t="s">
        <v>16</v>
      </c>
      <c r="X11" s="35">
        <v>2500</v>
      </c>
    </row>
    <row r="12" spans="1:24" x14ac:dyDescent="0.25">
      <c r="A12" t="s">
        <v>29</v>
      </c>
      <c r="B12">
        <v>28112</v>
      </c>
      <c r="C12">
        <v>43385</v>
      </c>
      <c r="D12">
        <v>8020</v>
      </c>
      <c r="E12">
        <v>106</v>
      </c>
      <c r="G12">
        <v>70</v>
      </c>
      <c r="H12">
        <v>350</v>
      </c>
      <c r="I12" s="27" t="s">
        <v>46</v>
      </c>
      <c r="J12" s="29" t="s">
        <v>47</v>
      </c>
      <c r="K12" s="27" t="s">
        <v>5</v>
      </c>
      <c r="L12" s="27" t="s">
        <v>54</v>
      </c>
      <c r="M12" s="28">
        <v>350</v>
      </c>
      <c r="W12" s="37" t="s">
        <v>17</v>
      </c>
      <c r="X12" s="35">
        <v>1250</v>
      </c>
    </row>
    <row r="13" spans="1:24" x14ac:dyDescent="0.25">
      <c r="A13" t="s">
        <v>29</v>
      </c>
      <c r="B13">
        <v>28112</v>
      </c>
      <c r="C13">
        <v>43385</v>
      </c>
      <c r="D13">
        <v>8020</v>
      </c>
      <c r="E13">
        <v>108</v>
      </c>
      <c r="G13">
        <v>10</v>
      </c>
      <c r="H13">
        <v>280</v>
      </c>
      <c r="I13" s="27" t="s">
        <v>46</v>
      </c>
      <c r="J13" s="29" t="s">
        <v>47</v>
      </c>
      <c r="K13" s="27" t="s">
        <v>11</v>
      </c>
      <c r="L13" s="27" t="s">
        <v>54</v>
      </c>
      <c r="M13" s="28">
        <v>280</v>
      </c>
      <c r="W13" s="37" t="s">
        <v>20</v>
      </c>
      <c r="X13" s="35">
        <v>1440</v>
      </c>
    </row>
    <row r="14" spans="1:24" x14ac:dyDescent="0.25">
      <c r="A14" t="s">
        <v>29</v>
      </c>
      <c r="B14">
        <v>28112</v>
      </c>
      <c r="C14">
        <v>43385</v>
      </c>
      <c r="D14">
        <v>8020</v>
      </c>
      <c r="E14">
        <v>117</v>
      </c>
      <c r="G14">
        <v>80</v>
      </c>
      <c r="H14">
        <v>1440</v>
      </c>
      <c r="I14" s="27" t="s">
        <v>46</v>
      </c>
      <c r="J14" s="29" t="s">
        <v>47</v>
      </c>
      <c r="K14" s="27" t="s">
        <v>20</v>
      </c>
      <c r="L14" s="27" t="s">
        <v>54</v>
      </c>
      <c r="M14" s="28">
        <v>1440</v>
      </c>
      <c r="W14" s="37" t="s">
        <v>21</v>
      </c>
      <c r="X14" s="35">
        <v>1260</v>
      </c>
    </row>
    <row r="15" spans="1:24" x14ac:dyDescent="0.25">
      <c r="A15" t="s">
        <v>29</v>
      </c>
      <c r="B15">
        <v>28112</v>
      </c>
      <c r="C15">
        <v>43385</v>
      </c>
      <c r="D15">
        <v>8020</v>
      </c>
      <c r="E15">
        <v>118</v>
      </c>
      <c r="G15">
        <v>70</v>
      </c>
      <c r="H15">
        <v>1260</v>
      </c>
      <c r="I15" s="27" t="s">
        <v>46</v>
      </c>
      <c r="J15" s="29" t="s">
        <v>47</v>
      </c>
      <c r="K15" s="27" t="s">
        <v>21</v>
      </c>
      <c r="L15" s="27" t="s">
        <v>54</v>
      </c>
      <c r="M15" s="28">
        <v>1260</v>
      </c>
      <c r="W15" s="36" t="s">
        <v>45</v>
      </c>
      <c r="X15" s="35">
        <v>5020</v>
      </c>
    </row>
    <row r="16" spans="1:24" x14ac:dyDescent="0.25">
      <c r="A16" t="s">
        <v>29</v>
      </c>
      <c r="B16">
        <v>25442</v>
      </c>
      <c r="C16">
        <v>43389</v>
      </c>
      <c r="D16">
        <v>8010</v>
      </c>
      <c r="E16">
        <v>118</v>
      </c>
      <c r="G16">
        <v>70</v>
      </c>
      <c r="H16">
        <v>1260</v>
      </c>
      <c r="I16" s="27" t="s">
        <v>46</v>
      </c>
      <c r="J16" s="29" t="s">
        <v>45</v>
      </c>
      <c r="K16" s="27" t="s">
        <v>21</v>
      </c>
      <c r="L16" s="27" t="s">
        <v>54</v>
      </c>
      <c r="M16" s="28">
        <v>1260</v>
      </c>
      <c r="W16" s="37" t="s">
        <v>19</v>
      </c>
      <c r="X16" s="35">
        <v>360</v>
      </c>
    </row>
    <row r="17" spans="1:24" x14ac:dyDescent="0.25">
      <c r="A17" t="s">
        <v>29</v>
      </c>
      <c r="B17">
        <v>25442</v>
      </c>
      <c r="C17">
        <v>43389</v>
      </c>
      <c r="D17">
        <v>8010</v>
      </c>
      <c r="E17">
        <v>117</v>
      </c>
      <c r="F17">
        <v>6</v>
      </c>
      <c r="G17">
        <v>80</v>
      </c>
      <c r="H17">
        <v>1440</v>
      </c>
      <c r="I17" s="27" t="s">
        <v>46</v>
      </c>
      <c r="J17" s="29" t="s">
        <v>45</v>
      </c>
      <c r="K17" s="27" t="s">
        <v>20</v>
      </c>
      <c r="L17" s="27" t="s">
        <v>54</v>
      </c>
      <c r="M17" s="28">
        <v>1440</v>
      </c>
      <c r="W17" s="37" t="s">
        <v>6</v>
      </c>
      <c r="X17" s="35">
        <v>480</v>
      </c>
    </row>
    <row r="18" spans="1:24" x14ac:dyDescent="0.25">
      <c r="A18" t="s">
        <v>29</v>
      </c>
      <c r="B18">
        <v>25442</v>
      </c>
      <c r="C18">
        <v>43389</v>
      </c>
      <c r="D18">
        <v>8010</v>
      </c>
      <c r="E18">
        <v>118</v>
      </c>
      <c r="G18">
        <v>70</v>
      </c>
      <c r="H18">
        <v>1260</v>
      </c>
      <c r="I18" s="27" t="s">
        <v>46</v>
      </c>
      <c r="J18" s="29" t="s">
        <v>45</v>
      </c>
      <c r="K18" s="27" t="s">
        <v>21</v>
      </c>
      <c r="L18" s="27" t="s">
        <v>54</v>
      </c>
      <c r="M18" s="28">
        <v>1260</v>
      </c>
      <c r="W18" s="37" t="s">
        <v>7</v>
      </c>
      <c r="X18" s="35">
        <v>120</v>
      </c>
    </row>
    <row r="19" spans="1:24" x14ac:dyDescent="0.25">
      <c r="A19" t="s">
        <v>29</v>
      </c>
      <c r="B19">
        <v>25442</v>
      </c>
      <c r="C19">
        <v>43389</v>
      </c>
      <c r="D19">
        <v>8010</v>
      </c>
      <c r="E19">
        <v>116</v>
      </c>
      <c r="F19">
        <v>1</v>
      </c>
      <c r="G19">
        <v>60</v>
      </c>
      <c r="H19">
        <v>360</v>
      </c>
      <c r="I19" s="27" t="s">
        <v>46</v>
      </c>
      <c r="J19" s="29" t="s">
        <v>45</v>
      </c>
      <c r="K19" s="27" t="s">
        <v>19</v>
      </c>
      <c r="L19" s="27" t="s">
        <v>54</v>
      </c>
      <c r="M19" s="28">
        <v>360</v>
      </c>
      <c r="W19" s="37" t="s">
        <v>5</v>
      </c>
      <c r="X19" s="35">
        <v>100</v>
      </c>
    </row>
    <row r="20" spans="1:24" x14ac:dyDescent="0.25">
      <c r="A20" t="s">
        <v>29</v>
      </c>
      <c r="B20">
        <v>25442</v>
      </c>
      <c r="C20">
        <v>43389</v>
      </c>
      <c r="D20">
        <v>8010</v>
      </c>
      <c r="E20">
        <v>106</v>
      </c>
      <c r="G20">
        <v>20</v>
      </c>
      <c r="H20">
        <v>100</v>
      </c>
      <c r="I20" s="27" t="s">
        <v>46</v>
      </c>
      <c r="J20" s="29" t="s">
        <v>45</v>
      </c>
      <c r="K20" s="27" t="s">
        <v>5</v>
      </c>
      <c r="L20" s="27" t="s">
        <v>54</v>
      </c>
      <c r="M20" s="28">
        <v>100</v>
      </c>
      <c r="W20" s="37" t="s">
        <v>20</v>
      </c>
      <c r="X20" s="35">
        <v>1440</v>
      </c>
    </row>
    <row r="21" spans="1:24" x14ac:dyDescent="0.25">
      <c r="A21" t="s">
        <v>29</v>
      </c>
      <c r="B21">
        <v>25442</v>
      </c>
      <c r="C21">
        <v>43389</v>
      </c>
      <c r="D21">
        <v>8010</v>
      </c>
      <c r="E21">
        <v>101</v>
      </c>
      <c r="G21">
        <v>40</v>
      </c>
      <c r="H21">
        <v>480</v>
      </c>
      <c r="I21" s="27" t="s">
        <v>46</v>
      </c>
      <c r="J21" s="29" t="s">
        <v>45</v>
      </c>
      <c r="K21" s="27" t="s">
        <v>6</v>
      </c>
      <c r="L21" s="27" t="s">
        <v>54</v>
      </c>
      <c r="M21" s="28">
        <v>480</v>
      </c>
      <c r="W21" s="37" t="s">
        <v>21</v>
      </c>
      <c r="X21" s="35">
        <v>2520</v>
      </c>
    </row>
    <row r="22" spans="1:24" x14ac:dyDescent="0.25">
      <c r="A22" t="s">
        <v>29</v>
      </c>
      <c r="B22">
        <v>25442</v>
      </c>
      <c r="C22">
        <v>43389</v>
      </c>
      <c r="D22">
        <v>8010</v>
      </c>
      <c r="E22">
        <v>102</v>
      </c>
      <c r="G22">
        <v>10</v>
      </c>
      <c r="H22">
        <v>120</v>
      </c>
      <c r="I22" s="27" t="s">
        <v>46</v>
      </c>
      <c r="J22" s="29" t="s">
        <v>45</v>
      </c>
      <c r="K22" s="27" t="s">
        <v>7</v>
      </c>
      <c r="L22" s="27" t="s">
        <v>54</v>
      </c>
      <c r="M22" s="28">
        <v>120</v>
      </c>
      <c r="W22" s="33" t="s">
        <v>32</v>
      </c>
      <c r="X22" s="35">
        <v>66100</v>
      </c>
    </row>
    <row r="23" spans="1:24" x14ac:dyDescent="0.25">
      <c r="A23" t="s">
        <v>28</v>
      </c>
      <c r="B23">
        <v>66030</v>
      </c>
      <c r="C23">
        <v>43377</v>
      </c>
      <c r="D23">
        <v>8010</v>
      </c>
      <c r="E23">
        <v>103</v>
      </c>
      <c r="F23" t="s">
        <v>93</v>
      </c>
      <c r="G23">
        <v>120</v>
      </c>
      <c r="H23">
        <v>1440</v>
      </c>
      <c r="I23" s="27" t="s">
        <v>32</v>
      </c>
      <c r="J23" s="29" t="s">
        <v>45</v>
      </c>
      <c r="K23" s="27" t="s">
        <v>8</v>
      </c>
      <c r="L23" s="27" t="s">
        <v>54</v>
      </c>
      <c r="M23" s="28">
        <v>1440</v>
      </c>
      <c r="W23" s="36" t="s">
        <v>47</v>
      </c>
      <c r="X23" s="35">
        <v>28620</v>
      </c>
    </row>
    <row r="24" spans="1:24" x14ac:dyDescent="0.25">
      <c r="A24" t="s">
        <v>28</v>
      </c>
      <c r="B24">
        <v>66030</v>
      </c>
      <c r="C24">
        <v>43377</v>
      </c>
      <c r="D24">
        <v>8010</v>
      </c>
      <c r="E24">
        <v>104</v>
      </c>
      <c r="G24">
        <v>150</v>
      </c>
      <c r="H24">
        <v>1800</v>
      </c>
      <c r="I24" s="27" t="s">
        <v>32</v>
      </c>
      <c r="J24" s="29" t="s">
        <v>45</v>
      </c>
      <c r="K24" s="27" t="s">
        <v>9</v>
      </c>
      <c r="L24" s="27" t="s">
        <v>54</v>
      </c>
      <c r="M24" s="28">
        <v>1800</v>
      </c>
      <c r="W24" s="37" t="s">
        <v>10</v>
      </c>
      <c r="X24" s="35">
        <v>3200</v>
      </c>
    </row>
    <row r="25" spans="1:24" x14ac:dyDescent="0.25">
      <c r="A25" t="s">
        <v>28</v>
      </c>
      <c r="B25">
        <v>66032</v>
      </c>
      <c r="C25">
        <v>43380</v>
      </c>
      <c r="D25">
        <v>8010</v>
      </c>
      <c r="E25">
        <v>103</v>
      </c>
      <c r="G25">
        <v>170</v>
      </c>
      <c r="H25">
        <v>2040</v>
      </c>
      <c r="I25" s="27" t="s">
        <v>32</v>
      </c>
      <c r="J25" s="29" t="s">
        <v>45</v>
      </c>
      <c r="K25" s="27" t="s">
        <v>8</v>
      </c>
      <c r="L25" s="27" t="s">
        <v>54</v>
      </c>
      <c r="M25" s="28">
        <v>2040</v>
      </c>
      <c r="W25" s="37" t="s">
        <v>4</v>
      </c>
      <c r="X25" s="35">
        <v>5500</v>
      </c>
    </row>
    <row r="26" spans="1:24" x14ac:dyDescent="0.25">
      <c r="A26" t="s">
        <v>28</v>
      </c>
      <c r="B26">
        <v>66032</v>
      </c>
      <c r="C26">
        <v>43380</v>
      </c>
      <c r="D26">
        <v>8010</v>
      </c>
      <c r="E26">
        <v>104</v>
      </c>
      <c r="G26">
        <v>140</v>
      </c>
      <c r="H26">
        <v>1680</v>
      </c>
      <c r="I26" s="27" t="s">
        <v>32</v>
      </c>
      <c r="J26" s="29" t="s">
        <v>45</v>
      </c>
      <c r="K26" s="27" t="s">
        <v>9</v>
      </c>
      <c r="L26" s="27" t="s">
        <v>54</v>
      </c>
      <c r="M26" s="28">
        <v>1680</v>
      </c>
      <c r="W26" s="37" t="s">
        <v>9</v>
      </c>
      <c r="X26" s="35">
        <v>9840</v>
      </c>
    </row>
    <row r="27" spans="1:24" x14ac:dyDescent="0.25">
      <c r="A27" t="s">
        <v>28</v>
      </c>
      <c r="B27">
        <v>66031</v>
      </c>
      <c r="C27">
        <v>43381</v>
      </c>
      <c r="D27">
        <v>8020</v>
      </c>
      <c r="E27">
        <v>103</v>
      </c>
      <c r="F27">
        <v>1</v>
      </c>
      <c r="G27">
        <v>140</v>
      </c>
      <c r="H27">
        <v>1680</v>
      </c>
      <c r="I27" s="27" t="s">
        <v>32</v>
      </c>
      <c r="J27" s="29" t="s">
        <v>47</v>
      </c>
      <c r="K27" s="27" t="s">
        <v>8</v>
      </c>
      <c r="L27" s="27" t="s">
        <v>54</v>
      </c>
      <c r="M27" s="28">
        <v>1680</v>
      </c>
      <c r="W27" s="37" t="s">
        <v>8</v>
      </c>
      <c r="X27" s="35">
        <v>10080</v>
      </c>
    </row>
    <row r="28" spans="1:24" x14ac:dyDescent="0.25">
      <c r="A28" t="s">
        <v>28</v>
      </c>
      <c r="B28">
        <v>66031</v>
      </c>
      <c r="C28">
        <v>43381</v>
      </c>
      <c r="D28">
        <v>8020</v>
      </c>
      <c r="E28">
        <v>104</v>
      </c>
      <c r="G28">
        <v>150</v>
      </c>
      <c r="H28">
        <v>1800</v>
      </c>
      <c r="I28" s="27" t="s">
        <v>32</v>
      </c>
      <c r="J28" s="29" t="s">
        <v>47</v>
      </c>
      <c r="K28" s="27" t="s">
        <v>9</v>
      </c>
      <c r="L28" s="27" t="s">
        <v>54</v>
      </c>
      <c r="M28" s="28">
        <v>1800</v>
      </c>
      <c r="W28" s="36" t="s">
        <v>45</v>
      </c>
      <c r="X28" s="35">
        <v>37480</v>
      </c>
    </row>
    <row r="29" spans="1:24" x14ac:dyDescent="0.25">
      <c r="A29" t="s">
        <v>28</v>
      </c>
      <c r="B29">
        <v>66031</v>
      </c>
      <c r="C29">
        <v>43381</v>
      </c>
      <c r="D29">
        <v>8020</v>
      </c>
      <c r="E29">
        <v>105</v>
      </c>
      <c r="G29">
        <v>100</v>
      </c>
      <c r="H29">
        <v>1000</v>
      </c>
      <c r="I29" s="27" t="s">
        <v>32</v>
      </c>
      <c r="J29" s="29" t="s">
        <v>47</v>
      </c>
      <c r="K29" s="27" t="s">
        <v>4</v>
      </c>
      <c r="L29" s="27" t="s">
        <v>54</v>
      </c>
      <c r="M29" s="28">
        <v>1000</v>
      </c>
      <c r="W29" s="37" t="s">
        <v>4</v>
      </c>
      <c r="X29" s="35">
        <v>8800</v>
      </c>
    </row>
    <row r="30" spans="1:24" x14ac:dyDescent="0.25">
      <c r="A30" t="s">
        <v>28</v>
      </c>
      <c r="B30">
        <v>68112</v>
      </c>
      <c r="C30">
        <v>43384</v>
      </c>
      <c r="D30">
        <v>8010</v>
      </c>
      <c r="E30">
        <v>104</v>
      </c>
      <c r="F30">
        <v>4</v>
      </c>
      <c r="G30">
        <v>180</v>
      </c>
      <c r="H30">
        <v>2160</v>
      </c>
      <c r="I30" s="27" t="s">
        <v>32</v>
      </c>
      <c r="J30" s="29" t="s">
        <v>45</v>
      </c>
      <c r="K30" s="27" t="s">
        <v>9</v>
      </c>
      <c r="L30" s="27" t="s">
        <v>54</v>
      </c>
      <c r="M30" s="28">
        <v>2160</v>
      </c>
      <c r="W30" s="37" t="s">
        <v>9</v>
      </c>
      <c r="X30" s="35">
        <v>18120</v>
      </c>
    </row>
    <row r="31" spans="1:24" x14ac:dyDescent="0.25">
      <c r="A31" t="s">
        <v>28</v>
      </c>
      <c r="B31">
        <v>68112</v>
      </c>
      <c r="C31">
        <v>43384</v>
      </c>
      <c r="D31">
        <v>8010</v>
      </c>
      <c r="E31">
        <v>105</v>
      </c>
      <c r="G31">
        <v>120</v>
      </c>
      <c r="H31">
        <v>1200</v>
      </c>
      <c r="I31" s="27" t="s">
        <v>32</v>
      </c>
      <c r="J31" s="29" t="s">
        <v>45</v>
      </c>
      <c r="K31" s="27" t="s">
        <v>4</v>
      </c>
      <c r="L31" s="27" t="s">
        <v>54</v>
      </c>
      <c r="M31" s="28">
        <v>1200</v>
      </c>
      <c r="W31" s="37" t="s">
        <v>8</v>
      </c>
      <c r="X31" s="35">
        <v>10560</v>
      </c>
    </row>
    <row r="32" spans="1:24" x14ac:dyDescent="0.25">
      <c r="A32" t="s">
        <v>28</v>
      </c>
      <c r="B32">
        <v>68116</v>
      </c>
      <c r="C32">
        <v>43384</v>
      </c>
      <c r="D32">
        <v>8020</v>
      </c>
      <c r="E32">
        <v>104</v>
      </c>
      <c r="G32">
        <v>150</v>
      </c>
      <c r="H32">
        <v>1800</v>
      </c>
      <c r="I32" s="27" t="s">
        <v>32</v>
      </c>
      <c r="J32" s="29" t="s">
        <v>47</v>
      </c>
      <c r="K32" s="27" t="s">
        <v>9</v>
      </c>
      <c r="L32" s="27" t="s">
        <v>54</v>
      </c>
      <c r="M32" s="28">
        <v>1800</v>
      </c>
      <c r="W32" s="33" t="s">
        <v>33</v>
      </c>
      <c r="X32" s="35">
        <v>35784.450960000002</v>
      </c>
    </row>
    <row r="33" spans="1:24" x14ac:dyDescent="0.25">
      <c r="A33" t="s">
        <v>28</v>
      </c>
      <c r="B33">
        <v>68116</v>
      </c>
      <c r="C33">
        <v>43384</v>
      </c>
      <c r="D33">
        <v>8020</v>
      </c>
      <c r="E33">
        <v>105</v>
      </c>
      <c r="G33">
        <v>190</v>
      </c>
      <c r="H33">
        <v>1900</v>
      </c>
      <c r="I33" s="27" t="s">
        <v>32</v>
      </c>
      <c r="J33" s="29" t="s">
        <v>47</v>
      </c>
      <c r="K33" s="27" t="s">
        <v>4</v>
      </c>
      <c r="L33" s="27" t="s">
        <v>54</v>
      </c>
      <c r="M33" s="28">
        <v>1900</v>
      </c>
      <c r="W33" s="36" t="s">
        <v>60</v>
      </c>
      <c r="X33" s="35">
        <v>14931.143759999999</v>
      </c>
    </row>
    <row r="34" spans="1:24" x14ac:dyDescent="0.25">
      <c r="A34" t="s">
        <v>28</v>
      </c>
      <c r="B34">
        <v>68116</v>
      </c>
      <c r="C34">
        <v>43384</v>
      </c>
      <c r="D34">
        <v>8020</v>
      </c>
      <c r="E34">
        <v>107</v>
      </c>
      <c r="F34">
        <v>2</v>
      </c>
      <c r="G34">
        <v>160</v>
      </c>
      <c r="H34">
        <v>800</v>
      </c>
      <c r="I34" s="27" t="s">
        <v>32</v>
      </c>
      <c r="J34" s="29" t="s">
        <v>47</v>
      </c>
      <c r="K34" s="27" t="s">
        <v>10</v>
      </c>
      <c r="L34" s="27" t="s">
        <v>54</v>
      </c>
      <c r="M34" s="28">
        <v>800</v>
      </c>
      <c r="W34" s="37" t="s">
        <v>11</v>
      </c>
      <c r="X34" s="35">
        <v>4026.2476799999999</v>
      </c>
    </row>
    <row r="35" spans="1:24" x14ac:dyDescent="0.25">
      <c r="A35" t="s">
        <v>28</v>
      </c>
      <c r="B35">
        <v>68116</v>
      </c>
      <c r="C35">
        <v>43384</v>
      </c>
      <c r="D35">
        <v>8010</v>
      </c>
      <c r="E35">
        <v>104</v>
      </c>
      <c r="G35">
        <v>160</v>
      </c>
      <c r="H35">
        <v>1920</v>
      </c>
      <c r="I35" s="27" t="s">
        <v>32</v>
      </c>
      <c r="J35" s="29" t="s">
        <v>45</v>
      </c>
      <c r="K35" s="27" t="s">
        <v>9</v>
      </c>
      <c r="L35" s="27" t="s">
        <v>54</v>
      </c>
      <c r="M35" s="28">
        <v>1920</v>
      </c>
      <c r="W35" s="37" t="s">
        <v>12</v>
      </c>
      <c r="X35" s="35">
        <v>3859.5664800000004</v>
      </c>
    </row>
    <row r="36" spans="1:24" x14ac:dyDescent="0.25">
      <c r="A36" t="s">
        <v>28</v>
      </c>
      <c r="B36">
        <v>68116</v>
      </c>
      <c r="C36">
        <v>43384</v>
      </c>
      <c r="D36">
        <v>8010</v>
      </c>
      <c r="E36">
        <v>105</v>
      </c>
      <c r="G36">
        <v>190</v>
      </c>
      <c r="H36">
        <v>1900</v>
      </c>
      <c r="I36" s="27" t="s">
        <v>32</v>
      </c>
      <c r="J36" s="29" t="s">
        <v>45</v>
      </c>
      <c r="K36" s="27" t="s">
        <v>4</v>
      </c>
      <c r="L36" s="27" t="s">
        <v>54</v>
      </c>
      <c r="M36" s="28">
        <v>1900</v>
      </c>
      <c r="W36" s="37" t="s">
        <v>13</v>
      </c>
      <c r="X36" s="35">
        <v>4288.4964</v>
      </c>
    </row>
    <row r="37" spans="1:24" x14ac:dyDescent="0.25">
      <c r="A37" t="s">
        <v>28</v>
      </c>
      <c r="B37">
        <v>65662</v>
      </c>
      <c r="C37">
        <v>43388</v>
      </c>
      <c r="D37">
        <v>8020</v>
      </c>
      <c r="E37">
        <v>103</v>
      </c>
      <c r="G37">
        <v>120</v>
      </c>
      <c r="H37">
        <v>1440</v>
      </c>
      <c r="I37" s="27" t="s">
        <v>32</v>
      </c>
      <c r="J37" s="29" t="s">
        <v>47</v>
      </c>
      <c r="K37" s="27" t="s">
        <v>8</v>
      </c>
      <c r="L37" s="27" t="s">
        <v>54</v>
      </c>
      <c r="M37" s="28">
        <v>1440</v>
      </c>
      <c r="W37" s="37" t="s">
        <v>14</v>
      </c>
      <c r="X37" s="35">
        <v>2756.8332</v>
      </c>
    </row>
    <row r="38" spans="1:24" x14ac:dyDescent="0.25">
      <c r="A38" t="s">
        <v>28</v>
      </c>
      <c r="B38">
        <v>65662</v>
      </c>
      <c r="C38">
        <v>43388</v>
      </c>
      <c r="D38">
        <v>8020</v>
      </c>
      <c r="E38">
        <v>104</v>
      </c>
      <c r="G38">
        <v>110</v>
      </c>
      <c r="H38">
        <v>1320</v>
      </c>
      <c r="I38" s="27" t="s">
        <v>32</v>
      </c>
      <c r="J38" s="29" t="s">
        <v>47</v>
      </c>
      <c r="K38" s="27" t="s">
        <v>9</v>
      </c>
      <c r="L38" s="27" t="s">
        <v>54</v>
      </c>
      <c r="M38" s="28">
        <v>1320</v>
      </c>
      <c r="W38" s="36" t="s">
        <v>61</v>
      </c>
      <c r="X38" s="35">
        <v>20853.307199999999</v>
      </c>
    </row>
    <row r="39" spans="1:24" x14ac:dyDescent="0.25">
      <c r="A39" t="s">
        <v>28</v>
      </c>
      <c r="B39">
        <v>65666</v>
      </c>
      <c r="C39">
        <v>43388</v>
      </c>
      <c r="D39">
        <v>8010</v>
      </c>
      <c r="E39">
        <v>103</v>
      </c>
      <c r="G39">
        <v>120</v>
      </c>
      <c r="H39">
        <v>1440</v>
      </c>
      <c r="I39" s="27" t="s">
        <v>32</v>
      </c>
      <c r="J39" s="29" t="s">
        <v>45</v>
      </c>
      <c r="K39" s="27" t="s">
        <v>8</v>
      </c>
      <c r="L39" s="27" t="s">
        <v>54</v>
      </c>
      <c r="M39" s="28">
        <v>1440</v>
      </c>
      <c r="W39" s="37" t="s">
        <v>11</v>
      </c>
      <c r="X39" s="35">
        <v>2477.6908800000001</v>
      </c>
    </row>
    <row r="40" spans="1:24" x14ac:dyDescent="0.25">
      <c r="A40" t="s">
        <v>28</v>
      </c>
      <c r="B40">
        <v>65666</v>
      </c>
      <c r="C40">
        <v>43388</v>
      </c>
      <c r="D40">
        <v>8010</v>
      </c>
      <c r="E40">
        <v>104</v>
      </c>
      <c r="G40">
        <v>140</v>
      </c>
      <c r="H40">
        <v>1680</v>
      </c>
      <c r="I40" s="27" t="s">
        <v>32</v>
      </c>
      <c r="J40" s="29" t="s">
        <v>45</v>
      </c>
      <c r="K40" s="27" t="s">
        <v>9</v>
      </c>
      <c r="L40" s="27" t="s">
        <v>54</v>
      </c>
      <c r="M40" s="28">
        <v>1680</v>
      </c>
      <c r="W40" s="37" t="s">
        <v>12</v>
      </c>
      <c r="X40" s="35">
        <v>6480.2875199999999</v>
      </c>
    </row>
    <row r="41" spans="1:24" x14ac:dyDescent="0.25">
      <c r="A41" t="s">
        <v>28</v>
      </c>
      <c r="B41">
        <v>65666</v>
      </c>
      <c r="C41">
        <v>43388</v>
      </c>
      <c r="D41">
        <v>8010</v>
      </c>
      <c r="E41">
        <v>105</v>
      </c>
      <c r="G41">
        <v>160</v>
      </c>
      <c r="H41">
        <v>1600</v>
      </c>
      <c r="I41" s="27" t="s">
        <v>32</v>
      </c>
      <c r="J41" s="29" t="s">
        <v>45</v>
      </c>
      <c r="K41" s="27" t="s">
        <v>4</v>
      </c>
      <c r="L41" s="27" t="s">
        <v>54</v>
      </c>
      <c r="M41" s="28">
        <v>1600</v>
      </c>
      <c r="W41" s="37" t="s">
        <v>13</v>
      </c>
      <c r="X41" s="35">
        <v>11895.328799999999</v>
      </c>
    </row>
    <row r="42" spans="1:24" x14ac:dyDescent="0.25">
      <c r="A42" t="s">
        <v>28</v>
      </c>
      <c r="B42">
        <v>65666</v>
      </c>
      <c r="C42">
        <v>43388</v>
      </c>
      <c r="D42">
        <v>8020</v>
      </c>
      <c r="E42">
        <v>107</v>
      </c>
      <c r="G42">
        <v>120</v>
      </c>
      <c r="H42">
        <v>600</v>
      </c>
      <c r="I42" s="27" t="s">
        <v>32</v>
      </c>
      <c r="J42" s="29" t="s">
        <v>47</v>
      </c>
      <c r="K42" s="27" t="s">
        <v>10</v>
      </c>
      <c r="L42" s="27" t="s">
        <v>54</v>
      </c>
      <c r="M42" s="28">
        <v>600</v>
      </c>
      <c r="W42" s="33" t="s">
        <v>126</v>
      </c>
      <c r="X42" s="35">
        <v>123084.45095999999</v>
      </c>
    </row>
    <row r="43" spans="1:24" x14ac:dyDescent="0.25">
      <c r="A43" t="s">
        <v>28</v>
      </c>
      <c r="B43">
        <v>65666</v>
      </c>
      <c r="C43">
        <v>43388</v>
      </c>
      <c r="D43">
        <v>8020</v>
      </c>
      <c r="E43">
        <v>103</v>
      </c>
      <c r="G43">
        <v>200</v>
      </c>
      <c r="H43">
        <v>2400</v>
      </c>
      <c r="I43" s="27" t="s">
        <v>32</v>
      </c>
      <c r="J43" s="29" t="s">
        <v>47</v>
      </c>
      <c r="K43" s="27" t="s">
        <v>8</v>
      </c>
      <c r="L43" s="27" t="s">
        <v>54</v>
      </c>
      <c r="M43" s="28">
        <v>2400</v>
      </c>
      <c r="X43"/>
    </row>
    <row r="44" spans="1:24" x14ac:dyDescent="0.25">
      <c r="A44" t="s">
        <v>28</v>
      </c>
      <c r="B44">
        <v>66015</v>
      </c>
      <c r="C44">
        <v>43383</v>
      </c>
      <c r="D44">
        <v>8010</v>
      </c>
      <c r="E44">
        <v>103</v>
      </c>
      <c r="G44">
        <v>140</v>
      </c>
      <c r="H44">
        <v>1680</v>
      </c>
      <c r="I44" s="27" t="s">
        <v>32</v>
      </c>
      <c r="J44" s="29" t="s">
        <v>45</v>
      </c>
      <c r="K44" s="27" t="s">
        <v>8</v>
      </c>
      <c r="L44" s="27" t="s">
        <v>54</v>
      </c>
      <c r="M44" s="28">
        <v>1680</v>
      </c>
      <c r="X44"/>
    </row>
    <row r="45" spans="1:24" x14ac:dyDescent="0.25">
      <c r="A45" t="s">
        <v>28</v>
      </c>
      <c r="B45">
        <v>66015</v>
      </c>
      <c r="C45">
        <v>43383</v>
      </c>
      <c r="D45">
        <v>8010</v>
      </c>
      <c r="E45">
        <v>104</v>
      </c>
      <c r="G45">
        <v>140</v>
      </c>
      <c r="H45">
        <v>1680</v>
      </c>
      <c r="I45" s="27" t="s">
        <v>32</v>
      </c>
      <c r="J45" s="29" t="s">
        <v>45</v>
      </c>
      <c r="K45" s="27" t="s">
        <v>9</v>
      </c>
      <c r="L45" s="27" t="s">
        <v>54</v>
      </c>
      <c r="M45" s="28">
        <v>1680</v>
      </c>
      <c r="X45"/>
    </row>
    <row r="46" spans="1:24" x14ac:dyDescent="0.25">
      <c r="A46" t="s">
        <v>28</v>
      </c>
      <c r="B46">
        <v>66017</v>
      </c>
      <c r="C46">
        <v>43386</v>
      </c>
      <c r="D46">
        <v>8010</v>
      </c>
      <c r="E46">
        <v>103</v>
      </c>
      <c r="G46">
        <v>140</v>
      </c>
      <c r="H46">
        <v>1680</v>
      </c>
      <c r="I46" s="27" t="s">
        <v>32</v>
      </c>
      <c r="J46" s="29" t="s">
        <v>45</v>
      </c>
      <c r="K46" s="27" t="s">
        <v>8</v>
      </c>
      <c r="L46" s="27" t="s">
        <v>54</v>
      </c>
      <c r="M46" s="28">
        <v>1680</v>
      </c>
    </row>
    <row r="47" spans="1:24" x14ac:dyDescent="0.25">
      <c r="A47" t="s">
        <v>28</v>
      </c>
      <c r="B47">
        <v>66017</v>
      </c>
      <c r="C47">
        <v>43386</v>
      </c>
      <c r="D47">
        <v>8010</v>
      </c>
      <c r="E47">
        <v>104</v>
      </c>
      <c r="G47">
        <v>140</v>
      </c>
      <c r="H47">
        <v>1680</v>
      </c>
      <c r="I47" s="27" t="s">
        <v>32</v>
      </c>
      <c r="J47" s="29" t="s">
        <v>45</v>
      </c>
      <c r="K47" s="27" t="s">
        <v>9</v>
      </c>
      <c r="L47" s="27" t="s">
        <v>54</v>
      </c>
      <c r="M47" s="28">
        <v>1680</v>
      </c>
    </row>
    <row r="48" spans="1:24" x14ac:dyDescent="0.25">
      <c r="A48" t="s">
        <v>28</v>
      </c>
      <c r="B48">
        <v>66016</v>
      </c>
      <c r="C48">
        <v>43387</v>
      </c>
      <c r="D48">
        <v>8020</v>
      </c>
      <c r="E48">
        <v>103</v>
      </c>
      <c r="G48">
        <v>120</v>
      </c>
      <c r="H48">
        <v>1440</v>
      </c>
      <c r="I48" s="27" t="s">
        <v>32</v>
      </c>
      <c r="J48" s="29" t="s">
        <v>47</v>
      </c>
      <c r="K48" s="27" t="s">
        <v>8</v>
      </c>
      <c r="L48" s="27" t="s">
        <v>54</v>
      </c>
      <c r="M48" s="28">
        <v>1440</v>
      </c>
    </row>
    <row r="49" spans="1:13" x14ac:dyDescent="0.25">
      <c r="A49" t="s">
        <v>28</v>
      </c>
      <c r="B49">
        <v>66016</v>
      </c>
      <c r="C49">
        <v>43387</v>
      </c>
      <c r="D49">
        <v>8020</v>
      </c>
      <c r="E49">
        <v>104</v>
      </c>
      <c r="G49">
        <v>130</v>
      </c>
      <c r="H49">
        <v>1560</v>
      </c>
      <c r="I49" s="27" t="s">
        <v>32</v>
      </c>
      <c r="J49" s="29" t="s">
        <v>47</v>
      </c>
      <c r="K49" s="27" t="s">
        <v>9</v>
      </c>
      <c r="L49" s="27" t="s">
        <v>54</v>
      </c>
      <c r="M49" s="28">
        <v>1560</v>
      </c>
    </row>
    <row r="50" spans="1:13" x14ac:dyDescent="0.25">
      <c r="A50" t="s">
        <v>28</v>
      </c>
      <c r="B50">
        <v>66016</v>
      </c>
      <c r="C50">
        <v>43387</v>
      </c>
      <c r="D50">
        <v>8020</v>
      </c>
      <c r="E50">
        <v>105</v>
      </c>
      <c r="G50">
        <v>120</v>
      </c>
      <c r="H50">
        <v>1200</v>
      </c>
      <c r="I50" s="27" t="s">
        <v>32</v>
      </c>
      <c r="J50" s="29" t="s">
        <v>47</v>
      </c>
      <c r="K50" s="27" t="s">
        <v>4</v>
      </c>
      <c r="L50" s="27" t="s">
        <v>54</v>
      </c>
      <c r="M50" s="28">
        <v>1200</v>
      </c>
    </row>
    <row r="51" spans="1:13" x14ac:dyDescent="0.25">
      <c r="A51" t="s">
        <v>28</v>
      </c>
      <c r="B51">
        <v>68097</v>
      </c>
      <c r="C51">
        <v>43390</v>
      </c>
      <c r="D51">
        <v>8010</v>
      </c>
      <c r="E51">
        <v>104</v>
      </c>
      <c r="G51">
        <v>140</v>
      </c>
      <c r="H51">
        <v>1680</v>
      </c>
      <c r="I51" s="27" t="s">
        <v>32</v>
      </c>
      <c r="J51" s="29" t="s">
        <v>45</v>
      </c>
      <c r="K51" s="27" t="s">
        <v>9</v>
      </c>
      <c r="L51" s="27" t="s">
        <v>54</v>
      </c>
      <c r="M51" s="28">
        <v>1680</v>
      </c>
    </row>
    <row r="52" spans="1:13" x14ac:dyDescent="0.25">
      <c r="A52" t="s">
        <v>28</v>
      </c>
      <c r="B52">
        <v>68097</v>
      </c>
      <c r="C52">
        <v>43390</v>
      </c>
      <c r="D52">
        <v>8010</v>
      </c>
      <c r="E52">
        <v>105</v>
      </c>
      <c r="G52">
        <v>130</v>
      </c>
      <c r="H52">
        <v>1300</v>
      </c>
      <c r="I52" s="27" t="s">
        <v>32</v>
      </c>
      <c r="J52" s="29" t="s">
        <v>45</v>
      </c>
      <c r="K52" s="27" t="s">
        <v>4</v>
      </c>
      <c r="L52" s="27" t="s">
        <v>54</v>
      </c>
      <c r="M52" s="28">
        <v>1300</v>
      </c>
    </row>
    <row r="53" spans="1:13" x14ac:dyDescent="0.25">
      <c r="A53" t="s">
        <v>28</v>
      </c>
      <c r="B53">
        <v>68099</v>
      </c>
      <c r="C53">
        <v>43390</v>
      </c>
      <c r="D53">
        <v>8020</v>
      </c>
      <c r="E53">
        <v>104</v>
      </c>
      <c r="G53">
        <v>120</v>
      </c>
      <c r="H53">
        <v>1440</v>
      </c>
      <c r="I53" s="27" t="s">
        <v>32</v>
      </c>
      <c r="J53" s="29" t="s">
        <v>47</v>
      </c>
      <c r="K53" s="27" t="s">
        <v>9</v>
      </c>
      <c r="L53" s="27" t="s">
        <v>54</v>
      </c>
      <c r="M53" s="28">
        <v>1440</v>
      </c>
    </row>
    <row r="54" spans="1:13" x14ac:dyDescent="0.25">
      <c r="A54" t="s">
        <v>28</v>
      </c>
      <c r="B54">
        <v>68099</v>
      </c>
      <c r="C54">
        <v>43390</v>
      </c>
      <c r="D54">
        <v>8020</v>
      </c>
      <c r="E54">
        <v>105</v>
      </c>
      <c r="F54">
        <v>2</v>
      </c>
      <c r="G54">
        <v>140</v>
      </c>
      <c r="H54">
        <v>1400</v>
      </c>
      <c r="I54" s="27" t="s">
        <v>32</v>
      </c>
      <c r="J54" s="29" t="s">
        <v>47</v>
      </c>
      <c r="K54" s="27" t="s">
        <v>4</v>
      </c>
      <c r="L54" s="27" t="s">
        <v>54</v>
      </c>
      <c r="M54" s="28">
        <v>1400</v>
      </c>
    </row>
    <row r="55" spans="1:13" x14ac:dyDescent="0.25">
      <c r="A55" t="s">
        <v>28</v>
      </c>
      <c r="B55">
        <v>68099</v>
      </c>
      <c r="C55">
        <v>43390</v>
      </c>
      <c r="D55">
        <v>8020</v>
      </c>
      <c r="E55">
        <v>107</v>
      </c>
      <c r="G55">
        <v>170</v>
      </c>
      <c r="H55">
        <v>850</v>
      </c>
      <c r="I55" s="27" t="s">
        <v>32</v>
      </c>
      <c r="J55" s="29" t="s">
        <v>47</v>
      </c>
      <c r="K55" s="27" t="s">
        <v>10</v>
      </c>
      <c r="L55" s="27" t="s">
        <v>54</v>
      </c>
      <c r="M55" s="28">
        <v>850</v>
      </c>
    </row>
    <row r="56" spans="1:13" x14ac:dyDescent="0.25">
      <c r="A56" t="s">
        <v>28</v>
      </c>
      <c r="B56">
        <v>68101</v>
      </c>
      <c r="C56">
        <v>43390</v>
      </c>
      <c r="D56">
        <v>8010</v>
      </c>
      <c r="E56">
        <v>104</v>
      </c>
      <c r="G56">
        <v>190</v>
      </c>
      <c r="H56">
        <v>2280</v>
      </c>
      <c r="I56" s="27" t="s">
        <v>32</v>
      </c>
      <c r="J56" s="29" t="s">
        <v>45</v>
      </c>
      <c r="K56" s="27" t="s">
        <v>9</v>
      </c>
      <c r="L56" s="27" t="s">
        <v>54</v>
      </c>
      <c r="M56" s="28">
        <v>2280</v>
      </c>
    </row>
    <row r="57" spans="1:13" x14ac:dyDescent="0.25">
      <c r="A57" t="s">
        <v>28</v>
      </c>
      <c r="B57">
        <v>68101</v>
      </c>
      <c r="C57">
        <v>43390</v>
      </c>
      <c r="D57">
        <v>8010</v>
      </c>
      <c r="E57">
        <v>105</v>
      </c>
      <c r="G57">
        <v>140</v>
      </c>
      <c r="H57">
        <v>1400</v>
      </c>
      <c r="I57" s="27" t="s">
        <v>32</v>
      </c>
      <c r="J57" s="29" t="s">
        <v>45</v>
      </c>
      <c r="K57" s="27" t="s">
        <v>4</v>
      </c>
      <c r="L57" s="27" t="s">
        <v>54</v>
      </c>
      <c r="M57" s="28">
        <v>1400</v>
      </c>
    </row>
    <row r="58" spans="1:13" x14ac:dyDescent="0.25">
      <c r="A58" t="s">
        <v>28</v>
      </c>
      <c r="B58">
        <v>65627</v>
      </c>
      <c r="C58">
        <v>43394</v>
      </c>
      <c r="D58">
        <v>8020</v>
      </c>
      <c r="E58">
        <v>103</v>
      </c>
      <c r="G58">
        <v>140</v>
      </c>
      <c r="H58">
        <v>1680</v>
      </c>
      <c r="I58" s="27" t="s">
        <v>32</v>
      </c>
      <c r="J58" s="29" t="s">
        <v>47</v>
      </c>
      <c r="K58" s="27" t="s">
        <v>8</v>
      </c>
      <c r="L58" s="27" t="s">
        <v>54</v>
      </c>
      <c r="M58" s="28">
        <v>1680</v>
      </c>
    </row>
    <row r="59" spans="1:13" x14ac:dyDescent="0.25">
      <c r="A59" t="s">
        <v>28</v>
      </c>
      <c r="B59">
        <v>65627</v>
      </c>
      <c r="C59">
        <v>43394</v>
      </c>
      <c r="D59">
        <v>8020</v>
      </c>
      <c r="E59">
        <v>104</v>
      </c>
      <c r="F59">
        <v>3</v>
      </c>
      <c r="G59">
        <v>160</v>
      </c>
      <c r="H59">
        <v>1920</v>
      </c>
      <c r="I59" s="27" t="s">
        <v>32</v>
      </c>
      <c r="J59" s="29" t="s">
        <v>47</v>
      </c>
      <c r="K59" s="27" t="s">
        <v>9</v>
      </c>
      <c r="L59" s="27" t="s">
        <v>54</v>
      </c>
      <c r="M59" s="28">
        <v>1920</v>
      </c>
    </row>
    <row r="60" spans="1:13" x14ac:dyDescent="0.25">
      <c r="A60" t="s">
        <v>28</v>
      </c>
      <c r="B60">
        <v>65629</v>
      </c>
      <c r="C60">
        <v>43394</v>
      </c>
      <c r="D60">
        <v>8010</v>
      </c>
      <c r="E60">
        <v>103</v>
      </c>
      <c r="G60">
        <v>190</v>
      </c>
      <c r="H60">
        <v>2280</v>
      </c>
      <c r="I60" s="27" t="s">
        <v>32</v>
      </c>
      <c r="J60" s="29" t="s">
        <v>45</v>
      </c>
      <c r="K60" s="27" t="s">
        <v>8</v>
      </c>
      <c r="L60" s="27" t="s">
        <v>54</v>
      </c>
      <c r="M60" s="28">
        <v>2280</v>
      </c>
    </row>
    <row r="61" spans="1:13" x14ac:dyDescent="0.25">
      <c r="A61" t="s">
        <v>28</v>
      </c>
      <c r="B61">
        <v>65629</v>
      </c>
      <c r="C61">
        <v>43394</v>
      </c>
      <c r="D61">
        <v>8010</v>
      </c>
      <c r="E61">
        <v>104</v>
      </c>
      <c r="G61">
        <v>130</v>
      </c>
      <c r="H61">
        <v>1560</v>
      </c>
      <c r="I61" s="27" t="s">
        <v>32</v>
      </c>
      <c r="J61" s="29" t="s">
        <v>45</v>
      </c>
      <c r="K61" s="27" t="s">
        <v>9</v>
      </c>
      <c r="L61" s="27" t="s">
        <v>54</v>
      </c>
      <c r="M61" s="28">
        <v>1560</v>
      </c>
    </row>
    <row r="62" spans="1:13" x14ac:dyDescent="0.25">
      <c r="A62" t="s">
        <v>28</v>
      </c>
      <c r="B62">
        <v>65629</v>
      </c>
      <c r="C62">
        <v>43394</v>
      </c>
      <c r="D62">
        <v>8010</v>
      </c>
      <c r="E62">
        <v>105</v>
      </c>
      <c r="G62">
        <v>140</v>
      </c>
      <c r="H62">
        <v>1400</v>
      </c>
      <c r="I62" s="27" t="s">
        <v>32</v>
      </c>
      <c r="J62" s="29" t="s">
        <v>45</v>
      </c>
      <c r="K62" s="27" t="s">
        <v>4</v>
      </c>
      <c r="L62" s="27" t="s">
        <v>54</v>
      </c>
      <c r="M62" s="28">
        <v>1400</v>
      </c>
    </row>
    <row r="63" spans="1:13" x14ac:dyDescent="0.25">
      <c r="A63" t="s">
        <v>28</v>
      </c>
      <c r="B63">
        <v>65631</v>
      </c>
      <c r="C63">
        <v>43394</v>
      </c>
      <c r="D63">
        <v>8020</v>
      </c>
      <c r="E63">
        <v>107</v>
      </c>
      <c r="G63">
        <v>190</v>
      </c>
      <c r="H63">
        <v>950</v>
      </c>
      <c r="I63" s="27" t="s">
        <v>32</v>
      </c>
      <c r="J63" s="29" t="s">
        <v>47</v>
      </c>
      <c r="K63" s="27" t="s">
        <v>10</v>
      </c>
      <c r="L63" s="27" t="s">
        <v>54</v>
      </c>
      <c r="M63" s="28">
        <v>950</v>
      </c>
    </row>
    <row r="64" spans="1:13" x14ac:dyDescent="0.25">
      <c r="A64" t="s">
        <v>28</v>
      </c>
      <c r="B64">
        <v>65631</v>
      </c>
      <c r="C64">
        <v>43394</v>
      </c>
      <c r="D64">
        <v>8020</v>
      </c>
      <c r="E64">
        <v>103</v>
      </c>
      <c r="G64">
        <v>120</v>
      </c>
      <c r="H64">
        <v>1440</v>
      </c>
      <c r="I64" s="27" t="s">
        <v>32</v>
      </c>
      <c r="J64" s="29" t="s">
        <v>47</v>
      </c>
      <c r="K64" s="27" t="s">
        <v>8</v>
      </c>
      <c r="L64" s="27" t="s">
        <v>54</v>
      </c>
      <c r="M64" s="28">
        <v>1440</v>
      </c>
    </row>
    <row r="65" spans="9:13" x14ac:dyDescent="0.25">
      <c r="I65" s="27" t="str">
        <f>VLOOKUP(Table1[[#This Row],[Company ID]],MCompany[#All],2,FALSE)</f>
        <v>Lucas Basics</v>
      </c>
      <c r="J65" s="29" t="str">
        <f>VLOOKUP(Table1[[#This Row],[Customer code]],MCustomer[#All],2,FALSE)</f>
        <v>Liebher</v>
      </c>
      <c r="K65" s="27" t="str">
        <f>VLOOKUP(Table1[[#This Row],[Article code]],MArticle[#All],2,FALSE)</f>
        <v>Laptop bag red</v>
      </c>
      <c r="L65" s="27" t="str">
        <f>VLOOKUP(Table1[[#This Row],[Company ID]],MCompany[#All],4,FALSE)</f>
        <v>Europe</v>
      </c>
      <c r="M65" s="28">
        <f>IF(Table1[[#This Row],[Region]]="Europe",VLOOKUP(MONTH(Table1[[#This Row],[Sales Document]]),MExchange[#All],2,FALSE),1)*Table1[[#This Row],[Sales Value]]</f>
        <v>2001.2983200000001</v>
      </c>
    </row>
    <row r="66" spans="9:13" x14ac:dyDescent="0.25">
      <c r="I66" s="27" t="str">
        <f>VLOOKUP(Table1[[#This Row],[Company ID]],MCompany[#All],2,FALSE)</f>
        <v>Lucas Basics</v>
      </c>
      <c r="J66" s="29" t="str">
        <f>VLOOKUP(Table1[[#This Row],[Customer code]],MCustomer[#All],2,FALSE)</f>
        <v>Liebher</v>
      </c>
      <c r="K66" s="27" t="str">
        <f>VLOOKUP(Table1[[#This Row],[Article code]],MArticle[#All],2,FALSE)</f>
        <v>Smartphone case diamond</v>
      </c>
      <c r="L66" s="27" t="str">
        <f>VLOOKUP(Table1[[#This Row],[Company ID]],MCompany[#All],4,FALSE)</f>
        <v>Europe</v>
      </c>
      <c r="M66" s="28">
        <f>IF(Table1[[#This Row],[Region]]="Europe",VLOOKUP(MONTH(Table1[[#This Row],[Sales Document]]),MExchange[#All],2,FALSE),1)*Table1[[#This Row],[Sales Value]]</f>
        <v>5003.2457999999997</v>
      </c>
    </row>
    <row r="67" spans="9:13" x14ac:dyDescent="0.25">
      <c r="I67" s="27" t="str">
        <f>VLOOKUP(Table1[[#This Row],[Company ID]],MCompany[#All],2,FALSE)</f>
        <v>Lucas Basics</v>
      </c>
      <c r="J67" s="29" t="str">
        <f>VLOOKUP(Table1[[#This Row],[Customer code]],MCustomer[#All],2,FALSE)</f>
        <v>Aida GmbH</v>
      </c>
      <c r="K67" s="27" t="str">
        <f>VLOOKUP(Table1[[#This Row],[Article code]],MArticle[#All],2,FALSE)</f>
        <v>Laptop bag red</v>
      </c>
      <c r="L67" s="27" t="str">
        <f>VLOOKUP(Table1[[#This Row],[Company ID]],MCompany[#All],4,FALSE)</f>
        <v>Europe</v>
      </c>
      <c r="M67" s="28">
        <f>IF(Table1[[#This Row],[Region]]="Europe",VLOOKUP(MONTH(Table1[[#This Row],[Sales Document]]),MExchange[#All],2,FALSE),1)*Table1[[#This Row],[Sales Value]]</f>
        <v>2001.2983200000001</v>
      </c>
    </row>
    <row r="68" spans="9:13" x14ac:dyDescent="0.25">
      <c r="I68" s="27" t="str">
        <f>VLOOKUP(Table1[[#This Row],[Company ID]],MCompany[#All],2,FALSE)</f>
        <v>Lucas Basics</v>
      </c>
      <c r="J68" s="29" t="str">
        <f>VLOOKUP(Table1[[#This Row],[Customer code]],MCustomer[#All],2,FALSE)</f>
        <v>Aida GmbH</v>
      </c>
      <c r="K68" s="27" t="str">
        <f>VLOOKUP(Table1[[#This Row],[Article code]],MArticle[#All],2,FALSE)</f>
        <v>Smartphone case diamond</v>
      </c>
      <c r="L68" s="27" t="str">
        <f>VLOOKUP(Table1[[#This Row],[Company ID]],MCompany[#All],4,FALSE)</f>
        <v>Europe</v>
      </c>
      <c r="M68" s="28">
        <f>IF(Table1[[#This Row],[Region]]="Europe",VLOOKUP(MONTH(Table1[[#This Row],[Sales Document]]),MExchange[#All],2,FALSE),1)*Table1[[#This Row],[Sales Value]]</f>
        <v>4288.4964</v>
      </c>
    </row>
    <row r="69" spans="9:13" x14ac:dyDescent="0.25">
      <c r="I69" s="27" t="str">
        <f>VLOOKUP(Table1[[#This Row],[Company ID]],MCompany[#All],2,FALSE)</f>
        <v>Lucas Basics</v>
      </c>
      <c r="J69" s="29" t="str">
        <f>VLOOKUP(Table1[[#This Row],[Customer code]],MCustomer[#All],2,FALSE)</f>
        <v>Aida GmbH</v>
      </c>
      <c r="K69" s="27" t="str">
        <f>VLOOKUP(Table1[[#This Row],[Article code]],MArticle[#All],2,FALSE)</f>
        <v>Smartphone case simple</v>
      </c>
      <c r="L69" s="27" t="str">
        <f>VLOOKUP(Table1[[#This Row],[Company ID]],MCompany[#All],4,FALSE)</f>
        <v>Europe</v>
      </c>
      <c r="M69" s="28">
        <f>IF(Table1[[#This Row],[Region]]="Europe",VLOOKUP(MONTH(Table1[[#This Row],[Sales Document]]),MExchange[#All],2,FALSE),1)*Table1[[#This Row],[Sales Value]]</f>
        <v>1429.4988000000001</v>
      </c>
    </row>
    <row r="70" spans="9:13" x14ac:dyDescent="0.25">
      <c r="I70" s="27" t="str">
        <f>VLOOKUP(Table1[[#This Row],[Company ID]],MCompany[#All],2,FALSE)</f>
        <v>Lucas Basics</v>
      </c>
      <c r="J70" s="29" t="str">
        <f>VLOOKUP(Table1[[#This Row],[Customer code]],MCustomer[#All],2,FALSE)</f>
        <v>Liebher</v>
      </c>
      <c r="K70" s="27" t="str">
        <f>VLOOKUP(Table1[[#This Row],[Article code]],MArticle[#All],2,FALSE)</f>
        <v>Laptop bag red</v>
      </c>
      <c r="L70" s="27" t="str">
        <f>VLOOKUP(Table1[[#This Row],[Company ID]],MCompany[#All],4,FALSE)</f>
        <v>Europe</v>
      </c>
      <c r="M70" s="28">
        <f>IF(Table1[[#This Row],[Region]]="Europe",VLOOKUP(MONTH(Table1[[#This Row],[Sales Document]]),MExchange[#All],2,FALSE),1)*Table1[[#This Row],[Sales Value]]</f>
        <v>2001.2983200000001</v>
      </c>
    </row>
    <row r="71" spans="9:13" x14ac:dyDescent="0.25">
      <c r="I71" s="27" t="str">
        <f>VLOOKUP(Table1[[#This Row],[Company ID]],MCompany[#All],2,FALSE)</f>
        <v>Lucas Basics</v>
      </c>
      <c r="J71" s="29" t="str">
        <f>VLOOKUP(Table1[[#This Row],[Customer code]],MCustomer[#All],2,FALSE)</f>
        <v>Liebher</v>
      </c>
      <c r="K71" s="27" t="str">
        <f>VLOOKUP(Table1[[#This Row],[Article code]],MArticle[#All],2,FALSE)</f>
        <v>Smartphone case diamond</v>
      </c>
      <c r="L71" s="27" t="str">
        <f>VLOOKUP(Table1[[#This Row],[Company ID]],MCompany[#All],4,FALSE)</f>
        <v>Europe</v>
      </c>
      <c r="M71" s="28">
        <f>IF(Table1[[#This Row],[Region]]="Europe",VLOOKUP(MONTH(Table1[[#This Row],[Sales Document]]),MExchange[#All],2,FALSE),1)*Table1[[#This Row],[Sales Value]]</f>
        <v>3573.7469999999998</v>
      </c>
    </row>
    <row r="72" spans="9:13" x14ac:dyDescent="0.25">
      <c r="I72" s="27" t="str">
        <f>VLOOKUP(Table1[[#This Row],[Company ID]],MCompany[#All],2,FALSE)</f>
        <v>Lucas Basics</v>
      </c>
      <c r="J72" s="29" t="str">
        <f>VLOOKUP(Table1[[#This Row],[Customer code]],MCustomer[#All],2,FALSE)</f>
        <v>Aida GmbH</v>
      </c>
      <c r="K72" s="27" t="str">
        <f>VLOOKUP(Table1[[#This Row],[Article code]],MArticle[#All],2,FALSE)</f>
        <v>Laptop bag black</v>
      </c>
      <c r="L72" s="27" t="str">
        <f>VLOOKUP(Table1[[#This Row],[Company ID]],MCompany[#All],4,FALSE)</f>
        <v>Europe</v>
      </c>
      <c r="M72" s="28">
        <f>IF(Table1[[#This Row],[Region]]="Europe",VLOOKUP(MONTH(Table1[[#This Row],[Sales Document]]),MExchange[#All],2,FALSE),1)*Table1[[#This Row],[Sales Value]]</f>
        <v>2167.9795199999999</v>
      </c>
    </row>
    <row r="73" spans="9:13" x14ac:dyDescent="0.25">
      <c r="I73" s="27" t="str">
        <f>VLOOKUP(Table1[[#This Row],[Company ID]],MCompany[#All],2,FALSE)</f>
        <v>Lucas Basics</v>
      </c>
      <c r="J73" s="29" t="str">
        <f>VLOOKUP(Table1[[#This Row],[Customer code]],MCustomer[#All],2,FALSE)</f>
        <v>Aida GmbH</v>
      </c>
      <c r="K73" s="27" t="str">
        <f>VLOOKUP(Table1[[#This Row],[Article code]],MArticle[#All],2,FALSE)</f>
        <v>Laptop bag red</v>
      </c>
      <c r="L73" s="27" t="str">
        <f>VLOOKUP(Table1[[#This Row],[Company ID]],MCompany[#All],4,FALSE)</f>
        <v>Europe</v>
      </c>
      <c r="M73" s="28">
        <f>IF(Table1[[#This Row],[Region]]="Europe",VLOOKUP(MONTH(Table1[[#This Row],[Sales Document]]),MExchange[#All],2,FALSE),1)*Table1[[#This Row],[Sales Value]]</f>
        <v>1858.2681600000001</v>
      </c>
    </row>
    <row r="74" spans="9:13" x14ac:dyDescent="0.25">
      <c r="I74" s="27" t="str">
        <f>VLOOKUP(Table1[[#This Row],[Company ID]],MCompany[#All],2,FALSE)</f>
        <v>Lucas Basics</v>
      </c>
      <c r="J74" s="29" t="str">
        <f>VLOOKUP(Table1[[#This Row],[Customer code]],MCustomer[#All],2,FALSE)</f>
        <v>Liebher</v>
      </c>
      <c r="K74" s="27" t="str">
        <f>VLOOKUP(Table1[[#This Row],[Article code]],MArticle[#All],2,FALSE)</f>
        <v>Laptop bag black</v>
      </c>
      <c r="L74" s="27" t="str">
        <f>VLOOKUP(Table1[[#This Row],[Company ID]],MCompany[#All],4,FALSE)</f>
        <v>Europe</v>
      </c>
      <c r="M74" s="28">
        <f>IF(Table1[[#This Row],[Region]]="Europe",VLOOKUP(MONTH(Table1[[#This Row],[Sales Document]]),MExchange[#All],2,FALSE),1)*Table1[[#This Row],[Sales Value]]</f>
        <v>2477.6908800000001</v>
      </c>
    </row>
    <row r="75" spans="9:13" x14ac:dyDescent="0.25">
      <c r="I75" s="27" t="str">
        <f>VLOOKUP(Table1[[#This Row],[Company ID]],MCompany[#All],2,FALSE)</f>
        <v>Lucas Basics</v>
      </c>
      <c r="J75" s="29" t="str">
        <f>VLOOKUP(Table1[[#This Row],[Customer code]],MCustomer[#All],2,FALSE)</f>
        <v>Liebher</v>
      </c>
      <c r="K75" s="27" t="str">
        <f>VLOOKUP(Table1[[#This Row],[Article code]],MArticle[#All],2,FALSE)</f>
        <v>Laptop bag red</v>
      </c>
      <c r="L75" s="27" t="str">
        <f>VLOOKUP(Table1[[#This Row],[Company ID]],MCompany[#All],4,FALSE)</f>
        <v>Europe</v>
      </c>
      <c r="M75" s="28">
        <f>IF(Table1[[#This Row],[Region]]="Europe",VLOOKUP(MONTH(Table1[[#This Row],[Sales Document]]),MExchange[#All],2,FALSE),1)*Table1[[#This Row],[Sales Value]]</f>
        <v>2477.6908800000001</v>
      </c>
    </row>
    <row r="76" spans="9:13" x14ac:dyDescent="0.25">
      <c r="I76" s="27" t="str">
        <f>VLOOKUP(Table1[[#This Row],[Company ID]],MCompany[#All],2,FALSE)</f>
        <v>Lucas Basics</v>
      </c>
      <c r="J76" s="29" t="str">
        <f>VLOOKUP(Table1[[#This Row],[Customer code]],MCustomer[#All],2,FALSE)</f>
        <v>Liebher</v>
      </c>
      <c r="K76" s="27" t="str">
        <f>VLOOKUP(Table1[[#This Row],[Article code]],MArticle[#All],2,FALSE)</f>
        <v>Smartphone case diamond</v>
      </c>
      <c r="L76" s="27" t="str">
        <f>VLOOKUP(Table1[[#This Row],[Company ID]],MCompany[#All],4,FALSE)</f>
        <v>Europe</v>
      </c>
      <c r="M76" s="28">
        <f>IF(Table1[[#This Row],[Region]]="Europe",VLOOKUP(MONTH(Table1[[#This Row],[Sales Document]]),MExchange[#All],2,FALSE),1)*Table1[[#This Row],[Sales Value]]</f>
        <v>3318.3359999999998</v>
      </c>
    </row>
    <row r="77" spans="9:13" x14ac:dyDescent="0.25">
      <c r="I77" s="27" t="str">
        <f>VLOOKUP(Table1[[#This Row],[Company ID]],MCompany[#All],2,FALSE)</f>
        <v>Lucas Basics</v>
      </c>
      <c r="J77" s="29" t="str">
        <f>VLOOKUP(Table1[[#This Row],[Customer code]],MCustomer[#All],2,FALSE)</f>
        <v>Aida GmbH</v>
      </c>
      <c r="K77" s="27" t="str">
        <f>VLOOKUP(Table1[[#This Row],[Article code]],MArticle[#All],2,FALSE)</f>
        <v>Smartphone case simple</v>
      </c>
      <c r="L77" s="27" t="str">
        <f>VLOOKUP(Table1[[#This Row],[Company ID]],MCompany[#All],4,FALSE)</f>
        <v>Europe</v>
      </c>
      <c r="M77" s="28">
        <f>IF(Table1[[#This Row],[Region]]="Europe",VLOOKUP(MONTH(Table1[[#This Row],[Sales Document]]),MExchange[#All],2,FALSE),1)*Table1[[#This Row],[Sales Value]]</f>
        <v>1327.3344</v>
      </c>
    </row>
    <row r="78" spans="9:13" x14ac:dyDescent="0.25">
      <c r="I78" s="27" t="str">
        <f>VLOOKUP(Table1[[#This Row],[Company ID]],MCompany[#All],2,FALSE)</f>
        <v>Lucas Basics</v>
      </c>
      <c r="J78" s="29" t="str">
        <f>VLOOKUP(Table1[[#This Row],[Customer code]],MCustomer[#All],2,FALSE)</f>
        <v>Aida GmbH</v>
      </c>
      <c r="K78" s="27" t="str">
        <f>VLOOKUP(Table1[[#This Row],[Article code]],MArticle[#All],2,FALSE)</f>
        <v>Laptop bag black</v>
      </c>
      <c r="L78" s="27" t="str">
        <f>VLOOKUP(Table1[[#This Row],[Company ID]],MCompany[#All],4,FALSE)</f>
        <v>Europe</v>
      </c>
      <c r="M78" s="28">
        <f>IF(Table1[[#This Row],[Region]]="Europe",VLOOKUP(MONTH(Table1[[#This Row],[Sales Document]]),MExchange[#All],2,FALSE),1)*Table1[[#This Row],[Sales Value]]</f>
        <v>1858.2681600000001</v>
      </c>
    </row>
    <row r="79" spans="9:13" x14ac:dyDescent="0.25">
      <c r="I79" s="27" t="str">
        <f>VLOOKUP(Table1[[#This Row],[Company ID]],MCompany[#All],2,FALSE)</f>
        <v>Meta Creations</v>
      </c>
      <c r="J79" s="29" t="str">
        <f>VLOOKUP(Table1[[#This Row],[Customer code]],MCustomer[#All],2,FALSE)</f>
        <v>Erma</v>
      </c>
      <c r="K79" s="27" t="str">
        <f>VLOOKUP(Table1[[#This Row],[Article code]],MArticle[#All],2,FALSE)</f>
        <v>Men type T simple white</v>
      </c>
      <c r="L79" s="27" t="str">
        <f>VLOOKUP(Table1[[#This Row],[Company ID]],MCompany[#All],4,FALSE)</f>
        <v>America</v>
      </c>
      <c r="M79" s="28">
        <f>IF(Table1[[#This Row],[Region]]="Europe",VLOOKUP(MONTH(Table1[[#This Row],[Sales Document]]),MExchange[#All],2,FALSE),1)*Table1[[#This Row],[Sales Value]]</f>
        <v>1560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J68"/>
  <sheetViews>
    <sheetView showGridLines="0" workbookViewId="0">
      <selection activeCell="G9" sqref="G9:G10"/>
    </sheetView>
  </sheetViews>
  <sheetFormatPr defaultRowHeight="12.5" x14ac:dyDescent="0.25"/>
  <cols>
    <col min="1" max="1" width="8.7265625" customWidth="1"/>
    <col min="2" max="2" width="21.7265625" customWidth="1"/>
    <col min="3" max="3" width="19.26953125" customWidth="1"/>
    <col min="4" max="4" width="15.08984375" customWidth="1"/>
    <col min="6" max="6" width="29.81640625" customWidth="1"/>
    <col min="7" max="7" width="13.7265625" customWidth="1"/>
    <col min="14" max="14" width="22.6328125" customWidth="1"/>
  </cols>
  <sheetData>
    <row r="1" spans="1:10" x14ac:dyDescent="0.25">
      <c r="A1" s="2"/>
      <c r="B1" s="2"/>
      <c r="C1" s="2"/>
      <c r="D1" s="2"/>
      <c r="E1" s="2"/>
      <c r="F1" s="2"/>
      <c r="G1" s="2"/>
      <c r="H1" s="2"/>
      <c r="I1" s="2"/>
      <c r="J1" s="2"/>
    </row>
    <row r="2" spans="1:10" ht="14" x14ac:dyDescent="0.3">
      <c r="A2" s="3"/>
      <c r="B2" s="3" t="s">
        <v>24</v>
      </c>
      <c r="C2" s="3"/>
      <c r="D2" s="3"/>
      <c r="E2" s="3"/>
      <c r="F2" s="3"/>
      <c r="G2" s="3"/>
      <c r="H2" s="3"/>
      <c r="I2" s="3"/>
      <c r="J2" s="3"/>
    </row>
    <row r="3" spans="1:10" ht="14" x14ac:dyDescent="0.3">
      <c r="A3" s="3"/>
      <c r="B3" s="3" t="s">
        <v>25</v>
      </c>
      <c r="C3" s="3"/>
      <c r="D3" s="3"/>
      <c r="E3" s="3"/>
      <c r="F3" s="3"/>
      <c r="G3" s="3"/>
      <c r="H3" s="3"/>
      <c r="I3" s="3"/>
      <c r="J3" s="3"/>
    </row>
    <row r="4" spans="1:10" x14ac:dyDescent="0.25">
      <c r="A4" s="2"/>
      <c r="B4" s="2"/>
      <c r="C4" s="2"/>
      <c r="D4" s="2"/>
      <c r="E4" s="2"/>
      <c r="F4" s="2"/>
      <c r="G4" s="2"/>
      <c r="H4" s="2"/>
      <c r="I4" s="2"/>
      <c r="J4" s="2"/>
    </row>
    <row r="6" spans="1:10" x14ac:dyDescent="0.25">
      <c r="A6" s="4" t="s">
        <v>27</v>
      </c>
      <c r="B6" s="4"/>
      <c r="C6" s="4"/>
      <c r="D6" s="4"/>
      <c r="E6" s="4"/>
      <c r="F6" s="4"/>
      <c r="G6" s="4"/>
      <c r="H6" s="4"/>
      <c r="I6" s="4"/>
      <c r="J6" s="4"/>
    </row>
    <row r="7" spans="1:10" x14ac:dyDescent="0.25">
      <c r="A7" s="10"/>
      <c r="B7" s="10"/>
      <c r="C7" s="10"/>
      <c r="D7" s="10"/>
      <c r="E7" s="10"/>
      <c r="F7" s="10"/>
      <c r="G7" s="10"/>
      <c r="H7" s="10"/>
      <c r="I7" s="10"/>
      <c r="J7" s="10"/>
    </row>
    <row r="8" spans="1:10" ht="26.25" customHeight="1" x14ac:dyDescent="0.25">
      <c r="B8" s="5" t="s">
        <v>50</v>
      </c>
      <c r="C8" s="6" t="s">
        <v>35</v>
      </c>
      <c r="D8" s="6" t="s">
        <v>3</v>
      </c>
      <c r="E8" s="6" t="s">
        <v>53</v>
      </c>
      <c r="G8" s="6" t="s">
        <v>58</v>
      </c>
    </row>
    <row r="9" spans="1:10" x14ac:dyDescent="0.25">
      <c r="B9" t="s">
        <v>28</v>
      </c>
      <c r="C9" t="s">
        <v>32</v>
      </c>
      <c r="D9" t="s">
        <v>1</v>
      </c>
      <c r="E9" t="s">
        <v>54</v>
      </c>
      <c r="G9" t="s">
        <v>54</v>
      </c>
    </row>
    <row r="10" spans="1:10" x14ac:dyDescent="0.25">
      <c r="B10" t="s">
        <v>29</v>
      </c>
      <c r="C10" t="s">
        <v>46</v>
      </c>
      <c r="D10" t="s">
        <v>1</v>
      </c>
      <c r="E10" t="s">
        <v>54</v>
      </c>
      <c r="G10" t="s">
        <v>55</v>
      </c>
    </row>
    <row r="11" spans="1:10" x14ac:dyDescent="0.25">
      <c r="B11" s="11" t="s">
        <v>30</v>
      </c>
      <c r="C11" s="11" t="s">
        <v>34</v>
      </c>
      <c r="D11" s="11" t="s">
        <v>38</v>
      </c>
      <c r="E11" t="s">
        <v>55</v>
      </c>
    </row>
    <row r="12" spans="1:10" x14ac:dyDescent="0.25">
      <c r="B12" s="11" t="s">
        <v>31</v>
      </c>
      <c r="C12" s="11" t="s">
        <v>33</v>
      </c>
      <c r="D12" s="11" t="s">
        <v>38</v>
      </c>
      <c r="E12" t="s">
        <v>55</v>
      </c>
    </row>
    <row r="13" spans="1:10" x14ac:dyDescent="0.25">
      <c r="B13" s="11"/>
      <c r="C13" s="11"/>
      <c r="D13" s="11"/>
    </row>
    <row r="14" spans="1:10" x14ac:dyDescent="0.25">
      <c r="A14" s="4" t="s">
        <v>36</v>
      </c>
      <c r="B14" s="4"/>
      <c r="C14" s="4"/>
      <c r="D14" s="4"/>
      <c r="E14" s="4"/>
      <c r="F14" s="4"/>
      <c r="G14" s="4"/>
      <c r="H14" s="4"/>
      <c r="I14" s="4"/>
      <c r="J14" s="4"/>
    </row>
    <row r="15" spans="1:10" x14ac:dyDescent="0.25">
      <c r="A15" s="10"/>
      <c r="B15" s="10"/>
      <c r="C15" s="10"/>
      <c r="D15" s="10"/>
      <c r="E15" s="10"/>
      <c r="F15" s="10"/>
      <c r="G15" s="10"/>
      <c r="H15" s="10"/>
      <c r="I15" s="10"/>
      <c r="J15" s="10"/>
    </row>
    <row r="16" spans="1:10" ht="14" x14ac:dyDescent="0.25">
      <c r="B16" s="5" t="s">
        <v>49</v>
      </c>
      <c r="C16" s="6" t="s">
        <v>44</v>
      </c>
    </row>
    <row r="17" spans="1:10" x14ac:dyDescent="0.25">
      <c r="B17">
        <v>8010</v>
      </c>
      <c r="C17" t="s">
        <v>45</v>
      </c>
    </row>
    <row r="18" spans="1:10" x14ac:dyDescent="0.25">
      <c r="B18">
        <v>8020</v>
      </c>
      <c r="C18" t="s">
        <v>47</v>
      </c>
    </row>
    <row r="19" spans="1:10" x14ac:dyDescent="0.25">
      <c r="B19">
        <v>8030</v>
      </c>
      <c r="C19" t="s">
        <v>48</v>
      </c>
    </row>
    <row r="20" spans="1:10" x14ac:dyDescent="0.25">
      <c r="B20">
        <v>8040</v>
      </c>
      <c r="C20" t="s">
        <v>59</v>
      </c>
    </row>
    <row r="21" spans="1:10" x14ac:dyDescent="0.25">
      <c r="B21">
        <v>8050</v>
      </c>
      <c r="C21" t="s">
        <v>60</v>
      </c>
    </row>
    <row r="22" spans="1:10" x14ac:dyDescent="0.25">
      <c r="B22">
        <v>8060</v>
      </c>
      <c r="C22" t="s">
        <v>61</v>
      </c>
    </row>
    <row r="24" spans="1:10" x14ac:dyDescent="0.25">
      <c r="A24" s="4" t="s">
        <v>26</v>
      </c>
      <c r="B24" s="4"/>
      <c r="C24" s="4"/>
      <c r="D24" s="4"/>
      <c r="E24" s="4"/>
      <c r="F24" s="4"/>
      <c r="G24" s="4"/>
      <c r="H24" s="4"/>
      <c r="I24" s="4"/>
      <c r="J24" s="4"/>
    </row>
    <row r="25" spans="1:10" x14ac:dyDescent="0.25">
      <c r="A25" s="10"/>
      <c r="B25" s="10"/>
      <c r="C25" s="10"/>
      <c r="D25" s="10"/>
      <c r="E25" s="10"/>
      <c r="F25" s="10"/>
      <c r="G25" s="10"/>
      <c r="H25" s="10"/>
      <c r="I25" s="10"/>
      <c r="J25" s="10"/>
    </row>
    <row r="26" spans="1:10" ht="14" x14ac:dyDescent="0.25">
      <c r="B26" s="5" t="s">
        <v>52</v>
      </c>
      <c r="C26" s="6" t="s">
        <v>0</v>
      </c>
    </row>
    <row r="27" spans="1:10" x14ac:dyDescent="0.25">
      <c r="B27" s="1">
        <v>101</v>
      </c>
      <c r="C27" t="s">
        <v>6</v>
      </c>
      <c r="F27" s="1"/>
    </row>
    <row r="28" spans="1:10" x14ac:dyDescent="0.25">
      <c r="B28" s="1">
        <v>102</v>
      </c>
      <c r="C28" t="s">
        <v>7</v>
      </c>
      <c r="F28" s="1"/>
    </row>
    <row r="29" spans="1:10" x14ac:dyDescent="0.25">
      <c r="B29" s="1">
        <v>103</v>
      </c>
      <c r="C29" t="s">
        <v>8</v>
      </c>
      <c r="F29" s="1"/>
    </row>
    <row r="30" spans="1:10" x14ac:dyDescent="0.25">
      <c r="B30" s="1">
        <v>104</v>
      </c>
      <c r="C30" t="s">
        <v>9</v>
      </c>
      <c r="F30" s="1"/>
    </row>
    <row r="31" spans="1:10" x14ac:dyDescent="0.25">
      <c r="B31" s="1">
        <v>105</v>
      </c>
      <c r="C31" t="s">
        <v>4</v>
      </c>
      <c r="F31" s="1"/>
    </row>
    <row r="32" spans="1:10" x14ac:dyDescent="0.25">
      <c r="B32" s="1">
        <v>106</v>
      </c>
      <c r="C32" t="s">
        <v>5</v>
      </c>
      <c r="F32" s="1"/>
    </row>
    <row r="33" spans="1:6" x14ac:dyDescent="0.25">
      <c r="B33" s="1">
        <v>107</v>
      </c>
      <c r="C33" t="s">
        <v>10</v>
      </c>
      <c r="F33" s="1"/>
    </row>
    <row r="34" spans="1:6" x14ac:dyDescent="0.25">
      <c r="B34" s="1">
        <v>108</v>
      </c>
      <c r="C34" t="s">
        <v>11</v>
      </c>
      <c r="F34" s="1"/>
    </row>
    <row r="35" spans="1:6" x14ac:dyDescent="0.25">
      <c r="B35" s="1">
        <v>109</v>
      </c>
      <c r="C35" t="s">
        <v>12</v>
      </c>
      <c r="F35" s="1"/>
    </row>
    <row r="36" spans="1:6" x14ac:dyDescent="0.25">
      <c r="B36" s="1">
        <v>110</v>
      </c>
      <c r="C36" t="s">
        <v>13</v>
      </c>
      <c r="F36" s="1"/>
    </row>
    <row r="37" spans="1:6" x14ac:dyDescent="0.25">
      <c r="B37" s="1">
        <v>111</v>
      </c>
      <c r="C37" t="s">
        <v>14</v>
      </c>
      <c r="F37" s="1"/>
    </row>
    <row r="38" spans="1:6" x14ac:dyDescent="0.25">
      <c r="B38" s="1">
        <v>112</v>
      </c>
      <c r="C38" t="s">
        <v>15</v>
      </c>
      <c r="F38" s="1"/>
    </row>
    <row r="39" spans="1:6" x14ac:dyDescent="0.25">
      <c r="B39" s="1">
        <v>113</v>
      </c>
      <c r="C39" t="s">
        <v>16</v>
      </c>
      <c r="F39" s="1"/>
    </row>
    <row r="40" spans="1:6" x14ac:dyDescent="0.25">
      <c r="B40" s="1">
        <v>114</v>
      </c>
      <c r="C40" t="s">
        <v>17</v>
      </c>
      <c r="F40" s="1"/>
    </row>
    <row r="41" spans="1:6" x14ac:dyDescent="0.25">
      <c r="B41" s="1">
        <v>115</v>
      </c>
      <c r="C41" t="s">
        <v>18</v>
      </c>
      <c r="F41" s="1"/>
    </row>
    <row r="42" spans="1:6" x14ac:dyDescent="0.25">
      <c r="B42" s="1">
        <v>116</v>
      </c>
      <c r="C42" t="s">
        <v>19</v>
      </c>
      <c r="F42" s="1"/>
    </row>
    <row r="43" spans="1:6" x14ac:dyDescent="0.25">
      <c r="B43" s="1">
        <v>117</v>
      </c>
      <c r="C43" t="s">
        <v>20</v>
      </c>
      <c r="F43" s="1"/>
    </row>
    <row r="44" spans="1:6" x14ac:dyDescent="0.25">
      <c r="B44" s="1">
        <v>118</v>
      </c>
      <c r="C44" t="s">
        <v>21</v>
      </c>
      <c r="F44" s="1"/>
    </row>
    <row r="45" spans="1:6" x14ac:dyDescent="0.25">
      <c r="B45" s="1">
        <v>119</v>
      </c>
      <c r="C45" t="s">
        <v>22</v>
      </c>
      <c r="F45" s="1"/>
    </row>
    <row r="46" spans="1:6" x14ac:dyDescent="0.25">
      <c r="B46" s="1">
        <v>120</v>
      </c>
      <c r="C46" t="s">
        <v>23</v>
      </c>
      <c r="F46" s="1"/>
    </row>
    <row r="47" spans="1:6" x14ac:dyDescent="0.25">
      <c r="A47" s="1"/>
    </row>
    <row r="48" spans="1:6" x14ac:dyDescent="0.25">
      <c r="A48" s="1"/>
    </row>
    <row r="50" spans="1:10" x14ac:dyDescent="0.25">
      <c r="A50" s="4" t="s">
        <v>81</v>
      </c>
      <c r="B50" s="4"/>
      <c r="C50" s="4"/>
      <c r="D50" s="4"/>
      <c r="E50" s="4"/>
      <c r="F50" s="4"/>
      <c r="G50" s="4"/>
      <c r="H50" s="4"/>
      <c r="I50" s="4"/>
      <c r="J50" s="4"/>
    </row>
    <row r="51" spans="1:10" x14ac:dyDescent="0.25">
      <c r="A51" s="10"/>
      <c r="B51" s="10"/>
      <c r="C51" s="10"/>
      <c r="D51" s="10"/>
      <c r="E51" s="10"/>
      <c r="F51" s="10"/>
      <c r="G51" s="10"/>
      <c r="H51" s="10"/>
      <c r="I51" s="10"/>
      <c r="J51" s="10"/>
    </row>
    <row r="52" spans="1:10" ht="14" x14ac:dyDescent="0.25">
      <c r="B52" s="5" t="s">
        <v>37</v>
      </c>
      <c r="C52" s="6" t="s">
        <v>51</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5">
    <tablePart r:id="rId1"/>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1:I141"/>
  <sheetViews>
    <sheetView topLeftCell="A113" workbookViewId="0">
      <selection activeCell="A105" sqref="A105"/>
    </sheetView>
  </sheetViews>
  <sheetFormatPr defaultRowHeight="12.5" x14ac:dyDescent="0.25"/>
  <cols>
    <col min="1" max="1" width="38.26953125" customWidth="1"/>
    <col min="4" max="4" width="14.453125" customWidth="1"/>
  </cols>
  <sheetData>
    <row r="1" spans="1:9" x14ac:dyDescent="0.25">
      <c r="A1" t="s">
        <v>39</v>
      </c>
      <c r="B1" t="s">
        <v>2</v>
      </c>
      <c r="C1" t="s">
        <v>40</v>
      </c>
      <c r="D1" t="s">
        <v>91</v>
      </c>
      <c r="E1" t="s">
        <v>49</v>
      </c>
      <c r="F1" t="s">
        <v>52</v>
      </c>
      <c r="G1" t="s">
        <v>43</v>
      </c>
      <c r="H1" t="s">
        <v>41</v>
      </c>
      <c r="I1" t="s">
        <v>42</v>
      </c>
    </row>
    <row r="2" spans="1:9" x14ac:dyDescent="0.25">
      <c r="A2" t="s">
        <v>30</v>
      </c>
      <c r="B2">
        <v>84030</v>
      </c>
      <c r="C2">
        <v>43380</v>
      </c>
      <c r="D2" t="s">
        <v>92</v>
      </c>
      <c r="E2">
        <v>8050</v>
      </c>
      <c r="F2">
        <v>120</v>
      </c>
      <c r="G2" t="s">
        <v>93</v>
      </c>
      <c r="H2">
        <v>120</v>
      </c>
      <c r="I2">
        <v>6960</v>
      </c>
    </row>
    <row r="3" spans="1:9" x14ac:dyDescent="0.25">
      <c r="A3" t="s">
        <v>30</v>
      </c>
      <c r="B3">
        <v>84030</v>
      </c>
      <c r="C3">
        <v>43380</v>
      </c>
      <c r="D3" t="s">
        <v>94</v>
      </c>
      <c r="E3">
        <v>8050</v>
      </c>
      <c r="F3">
        <v>104</v>
      </c>
      <c r="G3">
        <v>1</v>
      </c>
      <c r="H3">
        <v>430</v>
      </c>
      <c r="I3">
        <v>5160</v>
      </c>
    </row>
    <row r="4" spans="1:9" x14ac:dyDescent="0.25">
      <c r="A4" t="s">
        <v>30</v>
      </c>
      <c r="B4">
        <v>84030</v>
      </c>
      <c r="C4">
        <v>43380</v>
      </c>
      <c r="D4" t="s">
        <v>95</v>
      </c>
      <c r="E4">
        <v>8050</v>
      </c>
      <c r="F4">
        <v>105</v>
      </c>
      <c r="G4" t="s">
        <v>93</v>
      </c>
      <c r="H4">
        <v>120</v>
      </c>
      <c r="I4">
        <v>1200</v>
      </c>
    </row>
    <row r="5" spans="1:9" x14ac:dyDescent="0.25">
      <c r="A5" t="s">
        <v>30</v>
      </c>
      <c r="B5">
        <v>84030</v>
      </c>
      <c r="C5">
        <v>43380</v>
      </c>
      <c r="D5" t="s">
        <v>96</v>
      </c>
      <c r="E5">
        <v>8050</v>
      </c>
      <c r="F5">
        <v>107</v>
      </c>
      <c r="G5">
        <v>1</v>
      </c>
      <c r="H5">
        <v>690</v>
      </c>
      <c r="I5">
        <v>3450</v>
      </c>
    </row>
    <row r="6" spans="1:9" x14ac:dyDescent="0.25">
      <c r="A6" t="s">
        <v>30</v>
      </c>
      <c r="B6">
        <v>84031</v>
      </c>
      <c r="C6">
        <v>43381</v>
      </c>
      <c r="D6" t="s">
        <v>92</v>
      </c>
      <c r="E6">
        <v>8040</v>
      </c>
      <c r="F6">
        <v>104</v>
      </c>
      <c r="G6" t="s">
        <v>93</v>
      </c>
      <c r="H6">
        <v>870</v>
      </c>
      <c r="I6">
        <v>10440</v>
      </c>
    </row>
    <row r="7" spans="1:9" x14ac:dyDescent="0.25">
      <c r="A7" t="s">
        <v>30</v>
      </c>
      <c r="B7">
        <v>84031</v>
      </c>
      <c r="C7">
        <v>43381</v>
      </c>
      <c r="D7" t="s">
        <v>97</v>
      </c>
      <c r="E7">
        <v>8040</v>
      </c>
      <c r="F7">
        <v>107</v>
      </c>
      <c r="G7" t="s">
        <v>93</v>
      </c>
      <c r="H7">
        <v>760</v>
      </c>
      <c r="I7">
        <v>3800</v>
      </c>
    </row>
    <row r="8" spans="1:9" x14ac:dyDescent="0.25">
      <c r="A8" t="s">
        <v>30</v>
      </c>
      <c r="B8">
        <v>84031</v>
      </c>
      <c r="C8">
        <v>43381</v>
      </c>
      <c r="D8" t="s">
        <v>98</v>
      </c>
      <c r="E8">
        <v>8040</v>
      </c>
      <c r="F8">
        <v>110</v>
      </c>
      <c r="G8">
        <v>2</v>
      </c>
      <c r="H8">
        <v>500</v>
      </c>
      <c r="I8">
        <v>30000</v>
      </c>
    </row>
    <row r="9" spans="1:9" x14ac:dyDescent="0.25">
      <c r="A9" t="s">
        <v>30</v>
      </c>
      <c r="B9">
        <v>88112</v>
      </c>
      <c r="C9">
        <v>43384</v>
      </c>
      <c r="D9" t="s">
        <v>94</v>
      </c>
      <c r="E9">
        <v>8040</v>
      </c>
      <c r="F9">
        <v>110</v>
      </c>
      <c r="H9">
        <v>480</v>
      </c>
      <c r="I9">
        <v>28800</v>
      </c>
    </row>
    <row r="10" spans="1:9" x14ac:dyDescent="0.25">
      <c r="A10" t="s">
        <v>30</v>
      </c>
      <c r="B10">
        <v>88112</v>
      </c>
      <c r="C10">
        <v>43384</v>
      </c>
      <c r="D10" t="s">
        <v>99</v>
      </c>
      <c r="E10">
        <v>8040</v>
      </c>
      <c r="F10">
        <v>119</v>
      </c>
      <c r="G10" t="s">
        <v>93</v>
      </c>
      <c r="H10">
        <v>630</v>
      </c>
      <c r="I10">
        <v>39060</v>
      </c>
    </row>
    <row r="11" spans="1:9" x14ac:dyDescent="0.25">
      <c r="A11" t="s">
        <v>30</v>
      </c>
      <c r="B11">
        <v>88112</v>
      </c>
      <c r="C11">
        <v>43384</v>
      </c>
      <c r="D11" t="s">
        <v>100</v>
      </c>
      <c r="E11">
        <v>8040</v>
      </c>
      <c r="F11">
        <v>120</v>
      </c>
      <c r="H11">
        <v>150</v>
      </c>
      <c r="I11">
        <v>8700</v>
      </c>
    </row>
    <row r="12" spans="1:9" x14ac:dyDescent="0.25">
      <c r="A12" t="s">
        <v>30</v>
      </c>
      <c r="B12">
        <v>88112</v>
      </c>
      <c r="C12">
        <v>43384</v>
      </c>
      <c r="D12" t="s">
        <v>96</v>
      </c>
      <c r="E12">
        <v>8040</v>
      </c>
      <c r="F12">
        <v>116</v>
      </c>
      <c r="G12">
        <v>4</v>
      </c>
      <c r="H12">
        <v>760</v>
      </c>
      <c r="I12">
        <v>4560</v>
      </c>
    </row>
    <row r="13" spans="1:9" x14ac:dyDescent="0.25">
      <c r="A13" t="s">
        <v>30</v>
      </c>
      <c r="B13">
        <v>88112</v>
      </c>
      <c r="C13">
        <v>43384</v>
      </c>
      <c r="D13" t="s">
        <v>94</v>
      </c>
      <c r="E13">
        <v>8040</v>
      </c>
      <c r="F13">
        <v>111</v>
      </c>
      <c r="H13">
        <v>590</v>
      </c>
      <c r="I13">
        <v>11800</v>
      </c>
    </row>
    <row r="14" spans="1:9" x14ac:dyDescent="0.25">
      <c r="A14" t="s">
        <v>30</v>
      </c>
      <c r="B14">
        <v>88112</v>
      </c>
      <c r="C14">
        <v>43384</v>
      </c>
      <c r="D14" t="s">
        <v>97</v>
      </c>
      <c r="E14">
        <v>8040</v>
      </c>
      <c r="F14">
        <v>110</v>
      </c>
      <c r="H14">
        <v>530</v>
      </c>
      <c r="I14">
        <v>31800</v>
      </c>
    </row>
    <row r="15" spans="1:9" x14ac:dyDescent="0.25">
      <c r="A15" t="s">
        <v>30</v>
      </c>
      <c r="B15">
        <v>88112</v>
      </c>
      <c r="C15">
        <v>43384</v>
      </c>
      <c r="D15" t="s">
        <v>92</v>
      </c>
      <c r="E15">
        <v>8040</v>
      </c>
      <c r="F15">
        <v>109</v>
      </c>
      <c r="H15">
        <v>260</v>
      </c>
      <c r="I15">
        <v>7280</v>
      </c>
    </row>
    <row r="16" spans="1:9" x14ac:dyDescent="0.25">
      <c r="A16" t="s">
        <v>30</v>
      </c>
      <c r="B16">
        <v>85442</v>
      </c>
      <c r="C16">
        <v>43388</v>
      </c>
      <c r="D16" t="s">
        <v>101</v>
      </c>
      <c r="E16">
        <v>8050</v>
      </c>
      <c r="F16">
        <v>107</v>
      </c>
      <c r="H16">
        <v>270</v>
      </c>
      <c r="I16">
        <v>1350</v>
      </c>
    </row>
    <row r="17" spans="1:9" x14ac:dyDescent="0.25">
      <c r="A17" t="s">
        <v>30</v>
      </c>
      <c r="B17">
        <v>85442</v>
      </c>
      <c r="C17">
        <v>43388</v>
      </c>
      <c r="D17" t="s">
        <v>97</v>
      </c>
      <c r="E17">
        <v>8050</v>
      </c>
      <c r="F17">
        <v>103</v>
      </c>
      <c r="H17">
        <v>630</v>
      </c>
      <c r="I17">
        <v>7560</v>
      </c>
    </row>
    <row r="18" spans="1:9" x14ac:dyDescent="0.25">
      <c r="A18" t="s">
        <v>30</v>
      </c>
      <c r="B18">
        <v>85442</v>
      </c>
      <c r="C18">
        <v>43388</v>
      </c>
      <c r="D18" t="s">
        <v>96</v>
      </c>
      <c r="E18">
        <v>8050</v>
      </c>
      <c r="F18">
        <v>104</v>
      </c>
      <c r="H18">
        <v>440</v>
      </c>
      <c r="I18">
        <v>5280</v>
      </c>
    </row>
    <row r="19" spans="1:9" x14ac:dyDescent="0.25">
      <c r="A19" t="s">
        <v>30</v>
      </c>
      <c r="B19">
        <v>85442</v>
      </c>
      <c r="C19">
        <v>43388</v>
      </c>
      <c r="D19" t="s">
        <v>102</v>
      </c>
      <c r="E19">
        <v>8050</v>
      </c>
      <c r="F19">
        <v>120</v>
      </c>
      <c r="H19">
        <v>500</v>
      </c>
      <c r="I19">
        <v>29000</v>
      </c>
    </row>
    <row r="20" spans="1:9" x14ac:dyDescent="0.25">
      <c r="A20" t="s">
        <v>30</v>
      </c>
      <c r="B20">
        <v>85442</v>
      </c>
      <c r="C20">
        <v>43388</v>
      </c>
      <c r="D20" t="s">
        <v>99</v>
      </c>
      <c r="E20">
        <v>8050</v>
      </c>
      <c r="F20">
        <v>119</v>
      </c>
      <c r="G20">
        <v>1</v>
      </c>
      <c r="H20">
        <v>360</v>
      </c>
      <c r="I20">
        <v>22320</v>
      </c>
    </row>
    <row r="21" spans="1:9" x14ac:dyDescent="0.25">
      <c r="A21" t="s">
        <v>30</v>
      </c>
      <c r="B21">
        <v>85442</v>
      </c>
      <c r="C21">
        <v>43388</v>
      </c>
      <c r="D21" t="s">
        <v>102</v>
      </c>
      <c r="E21">
        <v>8050</v>
      </c>
      <c r="F21">
        <v>115</v>
      </c>
      <c r="H21">
        <v>810</v>
      </c>
      <c r="I21">
        <v>4860</v>
      </c>
    </row>
    <row r="22" spans="1:9" x14ac:dyDescent="0.25">
      <c r="A22" t="s">
        <v>30</v>
      </c>
      <c r="B22">
        <v>85442</v>
      </c>
      <c r="C22">
        <v>43388</v>
      </c>
      <c r="D22" t="s">
        <v>94</v>
      </c>
      <c r="E22">
        <v>8050</v>
      </c>
      <c r="F22">
        <v>108</v>
      </c>
      <c r="H22">
        <v>800</v>
      </c>
      <c r="I22">
        <v>22400</v>
      </c>
    </row>
    <row r="23" spans="1:9" x14ac:dyDescent="0.25">
      <c r="A23" t="s">
        <v>30</v>
      </c>
      <c r="B23">
        <v>88588</v>
      </c>
      <c r="C23">
        <v>43388</v>
      </c>
      <c r="D23" t="s">
        <v>101</v>
      </c>
      <c r="E23">
        <v>8040</v>
      </c>
      <c r="F23">
        <v>120</v>
      </c>
      <c r="H23">
        <v>470</v>
      </c>
      <c r="I23">
        <v>27260</v>
      </c>
    </row>
    <row r="24" spans="1:9" x14ac:dyDescent="0.25">
      <c r="A24" t="s">
        <v>30</v>
      </c>
      <c r="B24">
        <v>88588</v>
      </c>
      <c r="C24">
        <v>43388</v>
      </c>
      <c r="D24" t="s">
        <v>94</v>
      </c>
      <c r="E24">
        <v>8040</v>
      </c>
      <c r="F24">
        <v>119</v>
      </c>
      <c r="H24">
        <v>860</v>
      </c>
      <c r="I24">
        <v>53320</v>
      </c>
    </row>
    <row r="25" spans="1:9" x14ac:dyDescent="0.25">
      <c r="A25" t="s">
        <v>30</v>
      </c>
      <c r="B25">
        <v>88588</v>
      </c>
      <c r="C25">
        <v>43388</v>
      </c>
      <c r="D25" t="s">
        <v>100</v>
      </c>
      <c r="E25">
        <v>8040</v>
      </c>
      <c r="F25">
        <v>110</v>
      </c>
      <c r="H25">
        <v>180</v>
      </c>
      <c r="I25">
        <v>10800</v>
      </c>
    </row>
    <row r="26" spans="1:9" x14ac:dyDescent="0.25">
      <c r="A26" t="s">
        <v>30</v>
      </c>
      <c r="B26">
        <v>88588</v>
      </c>
      <c r="C26">
        <v>43388</v>
      </c>
      <c r="D26" t="s">
        <v>102</v>
      </c>
      <c r="E26">
        <v>8040</v>
      </c>
      <c r="F26">
        <v>111</v>
      </c>
      <c r="H26">
        <v>750</v>
      </c>
      <c r="I26">
        <v>15000</v>
      </c>
    </row>
    <row r="27" spans="1:9" x14ac:dyDescent="0.25">
      <c r="A27" t="s">
        <v>30</v>
      </c>
      <c r="B27">
        <v>88588</v>
      </c>
      <c r="C27">
        <v>43388</v>
      </c>
      <c r="D27" t="s">
        <v>92</v>
      </c>
      <c r="E27">
        <v>8040</v>
      </c>
      <c r="F27">
        <v>109</v>
      </c>
      <c r="H27">
        <v>560</v>
      </c>
      <c r="I27">
        <v>15680</v>
      </c>
    </row>
    <row r="28" spans="1:9" x14ac:dyDescent="0.25">
      <c r="A28" t="s">
        <v>30</v>
      </c>
      <c r="B28">
        <v>88588</v>
      </c>
      <c r="C28">
        <v>43388</v>
      </c>
      <c r="D28" t="s">
        <v>103</v>
      </c>
      <c r="E28">
        <v>8040</v>
      </c>
      <c r="F28">
        <v>105</v>
      </c>
      <c r="H28">
        <v>130</v>
      </c>
      <c r="I28">
        <v>1300</v>
      </c>
    </row>
    <row r="29" spans="1:9" x14ac:dyDescent="0.25">
      <c r="A29" t="s">
        <v>30</v>
      </c>
      <c r="B29">
        <v>88588</v>
      </c>
      <c r="C29">
        <v>43388</v>
      </c>
      <c r="D29" t="s">
        <v>94</v>
      </c>
      <c r="E29">
        <v>8040</v>
      </c>
      <c r="F29">
        <v>103</v>
      </c>
      <c r="H29">
        <v>110</v>
      </c>
      <c r="I29">
        <v>1320</v>
      </c>
    </row>
    <row r="30" spans="1:9" x14ac:dyDescent="0.25">
      <c r="A30" t="s">
        <v>30</v>
      </c>
      <c r="B30">
        <v>88544</v>
      </c>
      <c r="C30">
        <v>43395</v>
      </c>
      <c r="D30" t="s">
        <v>103</v>
      </c>
      <c r="E30">
        <v>8040</v>
      </c>
      <c r="F30">
        <v>107</v>
      </c>
      <c r="H30">
        <v>770</v>
      </c>
      <c r="I30">
        <v>3850</v>
      </c>
    </row>
    <row r="31" spans="1:9" x14ac:dyDescent="0.25">
      <c r="A31" t="s">
        <v>30</v>
      </c>
      <c r="B31">
        <v>88544</v>
      </c>
      <c r="C31">
        <v>43395</v>
      </c>
      <c r="D31" t="s">
        <v>102</v>
      </c>
      <c r="E31">
        <v>8040</v>
      </c>
      <c r="F31">
        <v>120</v>
      </c>
      <c r="H31">
        <v>300</v>
      </c>
      <c r="I31">
        <v>17400</v>
      </c>
    </row>
    <row r="32" spans="1:9" x14ac:dyDescent="0.25">
      <c r="A32" t="s">
        <v>30</v>
      </c>
      <c r="B32">
        <v>88666</v>
      </c>
      <c r="C32">
        <v>43399</v>
      </c>
      <c r="D32" t="s">
        <v>101</v>
      </c>
      <c r="E32">
        <v>8030</v>
      </c>
      <c r="F32">
        <v>119</v>
      </c>
      <c r="H32">
        <v>330</v>
      </c>
      <c r="I32">
        <v>20460</v>
      </c>
    </row>
    <row r="33" spans="1:9" x14ac:dyDescent="0.25">
      <c r="A33" t="s">
        <v>30</v>
      </c>
      <c r="B33">
        <v>88666</v>
      </c>
      <c r="C33">
        <v>43399</v>
      </c>
      <c r="D33" t="s">
        <v>99</v>
      </c>
      <c r="E33">
        <v>8030</v>
      </c>
      <c r="F33">
        <v>107</v>
      </c>
      <c r="H33">
        <v>460</v>
      </c>
      <c r="I33">
        <v>2300</v>
      </c>
    </row>
    <row r="34" spans="1:9" x14ac:dyDescent="0.25">
      <c r="A34" t="s">
        <v>30</v>
      </c>
      <c r="B34">
        <v>88666</v>
      </c>
      <c r="C34">
        <v>43399</v>
      </c>
      <c r="D34" t="s">
        <v>92</v>
      </c>
      <c r="E34">
        <v>8030</v>
      </c>
      <c r="F34">
        <v>105</v>
      </c>
      <c r="G34">
        <v>1</v>
      </c>
      <c r="H34">
        <v>470</v>
      </c>
      <c r="I34">
        <v>4700</v>
      </c>
    </row>
    <row r="35" spans="1:9" x14ac:dyDescent="0.25">
      <c r="A35" t="s">
        <v>30</v>
      </c>
      <c r="B35">
        <v>88666</v>
      </c>
      <c r="C35">
        <v>43399</v>
      </c>
      <c r="D35" t="s">
        <v>100</v>
      </c>
      <c r="E35">
        <v>8030</v>
      </c>
      <c r="F35">
        <v>115</v>
      </c>
      <c r="H35">
        <v>390</v>
      </c>
      <c r="I35">
        <v>2340</v>
      </c>
    </row>
    <row r="36" spans="1:9" x14ac:dyDescent="0.25">
      <c r="A36" t="s">
        <v>30</v>
      </c>
      <c r="B36">
        <v>88666</v>
      </c>
      <c r="C36">
        <v>43399</v>
      </c>
      <c r="D36" t="s">
        <v>98</v>
      </c>
      <c r="E36">
        <v>8030</v>
      </c>
      <c r="F36">
        <v>116</v>
      </c>
      <c r="H36">
        <v>260</v>
      </c>
      <c r="I36">
        <v>1560</v>
      </c>
    </row>
    <row r="37" spans="1:9" x14ac:dyDescent="0.25">
      <c r="A37" t="s">
        <v>31</v>
      </c>
      <c r="B37">
        <v>44030</v>
      </c>
      <c r="C37">
        <v>43377</v>
      </c>
      <c r="E37">
        <v>8060</v>
      </c>
      <c r="F37">
        <v>108</v>
      </c>
      <c r="G37" t="s">
        <v>93</v>
      </c>
      <c r="H37">
        <v>60</v>
      </c>
      <c r="I37">
        <v>1680</v>
      </c>
    </row>
    <row r="38" spans="1:9" x14ac:dyDescent="0.25">
      <c r="A38" t="s">
        <v>31</v>
      </c>
      <c r="B38">
        <v>44030</v>
      </c>
      <c r="C38">
        <v>43377</v>
      </c>
      <c r="E38">
        <v>8060</v>
      </c>
      <c r="F38">
        <v>109</v>
      </c>
      <c r="G38">
        <v>1</v>
      </c>
      <c r="H38">
        <v>60</v>
      </c>
      <c r="I38">
        <v>1680</v>
      </c>
    </row>
    <row r="39" spans="1:9" x14ac:dyDescent="0.25">
      <c r="A39" t="s">
        <v>31</v>
      </c>
      <c r="B39">
        <v>44032</v>
      </c>
      <c r="C39">
        <v>43380</v>
      </c>
      <c r="E39">
        <v>8060</v>
      </c>
      <c r="F39">
        <v>108</v>
      </c>
      <c r="G39" t="s">
        <v>93</v>
      </c>
      <c r="H39">
        <v>60</v>
      </c>
      <c r="I39">
        <v>1680</v>
      </c>
    </row>
    <row r="40" spans="1:9" x14ac:dyDescent="0.25">
      <c r="A40" t="s">
        <v>31</v>
      </c>
      <c r="B40">
        <v>44032</v>
      </c>
      <c r="C40">
        <v>43380</v>
      </c>
      <c r="E40">
        <v>8060</v>
      </c>
      <c r="F40">
        <v>109</v>
      </c>
      <c r="H40">
        <v>70</v>
      </c>
      <c r="I40">
        <v>1960</v>
      </c>
    </row>
    <row r="41" spans="1:9" x14ac:dyDescent="0.25">
      <c r="A41" t="s">
        <v>31</v>
      </c>
      <c r="B41">
        <v>44031</v>
      </c>
      <c r="C41">
        <v>43381</v>
      </c>
      <c r="E41">
        <v>8050</v>
      </c>
      <c r="F41">
        <v>108</v>
      </c>
      <c r="G41" t="s">
        <v>93</v>
      </c>
      <c r="H41">
        <v>60</v>
      </c>
      <c r="I41">
        <v>1680</v>
      </c>
    </row>
    <row r="42" spans="1:9" x14ac:dyDescent="0.25">
      <c r="A42" t="s">
        <v>31</v>
      </c>
      <c r="B42">
        <v>44031</v>
      </c>
      <c r="C42">
        <v>43381</v>
      </c>
      <c r="E42">
        <v>8050</v>
      </c>
      <c r="F42">
        <v>109</v>
      </c>
      <c r="G42" t="s">
        <v>93</v>
      </c>
      <c r="H42">
        <v>50</v>
      </c>
      <c r="I42">
        <v>1400</v>
      </c>
    </row>
    <row r="43" spans="1:9" x14ac:dyDescent="0.25">
      <c r="A43" t="s">
        <v>31</v>
      </c>
      <c r="B43">
        <v>44031</v>
      </c>
      <c r="C43">
        <v>43381</v>
      </c>
      <c r="E43">
        <v>8050</v>
      </c>
      <c r="F43">
        <v>110</v>
      </c>
      <c r="G43" t="s">
        <v>93</v>
      </c>
      <c r="H43">
        <v>60</v>
      </c>
      <c r="I43">
        <v>3600</v>
      </c>
    </row>
    <row r="44" spans="1:9" x14ac:dyDescent="0.25">
      <c r="A44" t="s">
        <v>31</v>
      </c>
      <c r="B44">
        <v>48112</v>
      </c>
      <c r="C44">
        <v>43384</v>
      </c>
      <c r="E44">
        <v>8060</v>
      </c>
      <c r="F44">
        <v>109</v>
      </c>
      <c r="H44">
        <v>60</v>
      </c>
      <c r="I44">
        <v>1680</v>
      </c>
    </row>
    <row r="45" spans="1:9" x14ac:dyDescent="0.25">
      <c r="A45" t="s">
        <v>31</v>
      </c>
      <c r="B45">
        <v>48112</v>
      </c>
      <c r="C45">
        <v>43384</v>
      </c>
      <c r="E45">
        <v>8060</v>
      </c>
      <c r="F45">
        <v>110</v>
      </c>
      <c r="G45" t="s">
        <v>93</v>
      </c>
      <c r="H45">
        <v>50</v>
      </c>
      <c r="I45">
        <v>3000</v>
      </c>
    </row>
    <row r="46" spans="1:9" x14ac:dyDescent="0.25">
      <c r="A46" t="s">
        <v>31</v>
      </c>
      <c r="B46">
        <v>48114</v>
      </c>
      <c r="C46">
        <v>43384</v>
      </c>
      <c r="E46">
        <v>8050</v>
      </c>
      <c r="F46">
        <v>109</v>
      </c>
      <c r="H46">
        <v>60</v>
      </c>
      <c r="I46">
        <v>1680</v>
      </c>
    </row>
    <row r="47" spans="1:9" x14ac:dyDescent="0.25">
      <c r="A47" t="s">
        <v>31</v>
      </c>
      <c r="B47">
        <v>48114</v>
      </c>
      <c r="C47">
        <v>43384</v>
      </c>
      <c r="E47">
        <v>8050</v>
      </c>
      <c r="F47">
        <v>110</v>
      </c>
      <c r="H47">
        <v>60</v>
      </c>
      <c r="I47">
        <v>3600</v>
      </c>
    </row>
    <row r="48" spans="1:9" x14ac:dyDescent="0.25">
      <c r="A48" t="s">
        <v>31</v>
      </c>
      <c r="B48">
        <v>48114</v>
      </c>
      <c r="C48">
        <v>43384</v>
      </c>
      <c r="E48">
        <v>8050</v>
      </c>
      <c r="F48">
        <v>111</v>
      </c>
      <c r="H48">
        <v>80</v>
      </c>
      <c r="I48">
        <v>1600</v>
      </c>
    </row>
    <row r="49" spans="1:9" x14ac:dyDescent="0.25">
      <c r="A49" t="s">
        <v>31</v>
      </c>
      <c r="B49">
        <v>48116</v>
      </c>
      <c r="C49">
        <v>43384</v>
      </c>
      <c r="E49">
        <v>8060</v>
      </c>
      <c r="F49">
        <v>109</v>
      </c>
      <c r="H49">
        <v>60</v>
      </c>
      <c r="I49">
        <v>1680</v>
      </c>
    </row>
    <row r="50" spans="1:9" x14ac:dyDescent="0.25">
      <c r="A50" t="s">
        <v>31</v>
      </c>
      <c r="B50">
        <v>48116</v>
      </c>
      <c r="C50">
        <v>43384</v>
      </c>
      <c r="E50">
        <v>8060</v>
      </c>
      <c r="F50">
        <v>110</v>
      </c>
      <c r="H50">
        <v>60</v>
      </c>
      <c r="I50">
        <v>3600</v>
      </c>
    </row>
    <row r="51" spans="1:9" x14ac:dyDescent="0.25">
      <c r="A51" t="s">
        <v>31</v>
      </c>
      <c r="B51">
        <v>45442</v>
      </c>
      <c r="C51">
        <v>43388</v>
      </c>
      <c r="E51">
        <v>8050</v>
      </c>
      <c r="F51">
        <v>108</v>
      </c>
      <c r="H51">
        <v>50</v>
      </c>
      <c r="I51">
        <v>1400</v>
      </c>
    </row>
    <row r="52" spans="1:9" x14ac:dyDescent="0.25">
      <c r="A52" t="s">
        <v>31</v>
      </c>
      <c r="B52">
        <v>45442</v>
      </c>
      <c r="C52">
        <v>43388</v>
      </c>
      <c r="E52">
        <v>8050</v>
      </c>
      <c r="F52">
        <v>109</v>
      </c>
      <c r="G52">
        <v>1</v>
      </c>
      <c r="H52">
        <v>60</v>
      </c>
      <c r="I52">
        <v>1680</v>
      </c>
    </row>
    <row r="53" spans="1:9" x14ac:dyDescent="0.25">
      <c r="A53" t="s">
        <v>31</v>
      </c>
      <c r="B53">
        <v>45444</v>
      </c>
      <c r="C53">
        <v>43388</v>
      </c>
      <c r="E53">
        <v>8060</v>
      </c>
      <c r="F53">
        <v>108</v>
      </c>
      <c r="H53">
        <v>60</v>
      </c>
      <c r="I53">
        <v>1680</v>
      </c>
    </row>
    <row r="54" spans="1:9" x14ac:dyDescent="0.25">
      <c r="A54" t="s">
        <v>31</v>
      </c>
      <c r="B54">
        <v>45444</v>
      </c>
      <c r="C54">
        <v>43388</v>
      </c>
      <c r="E54">
        <v>8060</v>
      </c>
      <c r="F54">
        <v>109</v>
      </c>
      <c r="H54">
        <v>70</v>
      </c>
      <c r="I54">
        <v>1960</v>
      </c>
    </row>
    <row r="55" spans="1:9" x14ac:dyDescent="0.25">
      <c r="A55" t="s">
        <v>31</v>
      </c>
      <c r="B55">
        <v>45444</v>
      </c>
      <c r="C55">
        <v>43388</v>
      </c>
      <c r="E55">
        <v>8060</v>
      </c>
      <c r="F55">
        <v>110</v>
      </c>
      <c r="H55">
        <v>60</v>
      </c>
      <c r="I55">
        <v>3600</v>
      </c>
    </row>
    <row r="56" spans="1:9" x14ac:dyDescent="0.25">
      <c r="A56" t="s">
        <v>31</v>
      </c>
      <c r="B56">
        <v>45446</v>
      </c>
      <c r="C56">
        <v>43388</v>
      </c>
      <c r="E56">
        <v>8050</v>
      </c>
      <c r="F56">
        <v>111</v>
      </c>
      <c r="H56">
        <v>80</v>
      </c>
      <c r="I56">
        <v>1600</v>
      </c>
    </row>
    <row r="57" spans="1:9" x14ac:dyDescent="0.25">
      <c r="A57" t="s">
        <v>31</v>
      </c>
      <c r="B57">
        <v>45446</v>
      </c>
      <c r="C57">
        <v>43388</v>
      </c>
      <c r="E57">
        <v>8050</v>
      </c>
      <c r="F57">
        <v>108</v>
      </c>
      <c r="H57">
        <v>50</v>
      </c>
      <c r="I57">
        <v>1400</v>
      </c>
    </row>
    <row r="58" spans="1:9" x14ac:dyDescent="0.25">
      <c r="A58" t="s">
        <v>31</v>
      </c>
      <c r="B58">
        <v>44015</v>
      </c>
      <c r="C58">
        <v>43383</v>
      </c>
      <c r="E58">
        <v>8060</v>
      </c>
      <c r="F58">
        <v>108</v>
      </c>
      <c r="H58">
        <v>60</v>
      </c>
      <c r="I58">
        <v>1680</v>
      </c>
    </row>
    <row r="59" spans="1:9" x14ac:dyDescent="0.25">
      <c r="A59" t="s">
        <v>31</v>
      </c>
      <c r="B59">
        <v>44015</v>
      </c>
      <c r="C59">
        <v>43383</v>
      </c>
      <c r="E59">
        <v>8060</v>
      </c>
      <c r="F59">
        <v>109</v>
      </c>
      <c r="H59">
        <v>70</v>
      </c>
      <c r="I59">
        <v>1960</v>
      </c>
    </row>
    <row r="60" spans="1:9" x14ac:dyDescent="0.25">
      <c r="A60" t="s">
        <v>31</v>
      </c>
      <c r="B60">
        <v>44017</v>
      </c>
      <c r="C60">
        <v>43386</v>
      </c>
      <c r="E60">
        <v>8060</v>
      </c>
      <c r="F60">
        <v>108</v>
      </c>
      <c r="H60">
        <v>70</v>
      </c>
      <c r="I60">
        <v>1960</v>
      </c>
    </row>
    <row r="61" spans="1:9" x14ac:dyDescent="0.25">
      <c r="A61" t="s">
        <v>31</v>
      </c>
      <c r="B61">
        <v>44017</v>
      </c>
      <c r="C61">
        <v>43386</v>
      </c>
      <c r="E61">
        <v>8060</v>
      </c>
      <c r="F61">
        <v>109</v>
      </c>
      <c r="H61">
        <v>70</v>
      </c>
      <c r="I61">
        <v>1960</v>
      </c>
    </row>
    <row r="62" spans="1:9" x14ac:dyDescent="0.25">
      <c r="A62" t="s">
        <v>31</v>
      </c>
      <c r="B62">
        <v>44016</v>
      </c>
      <c r="C62">
        <v>43387</v>
      </c>
      <c r="E62">
        <v>8050</v>
      </c>
      <c r="F62">
        <v>108</v>
      </c>
      <c r="H62">
        <v>70</v>
      </c>
      <c r="I62">
        <v>1960</v>
      </c>
    </row>
    <row r="63" spans="1:9" x14ac:dyDescent="0.25">
      <c r="A63" t="s">
        <v>31</v>
      </c>
      <c r="B63">
        <v>44016</v>
      </c>
      <c r="C63">
        <v>43387</v>
      </c>
      <c r="E63">
        <v>8050</v>
      </c>
      <c r="F63">
        <v>109</v>
      </c>
      <c r="G63">
        <v>1</v>
      </c>
      <c r="H63">
        <v>60</v>
      </c>
      <c r="I63">
        <v>1680</v>
      </c>
    </row>
    <row r="64" spans="1:9" x14ac:dyDescent="0.25">
      <c r="A64" t="s">
        <v>31</v>
      </c>
      <c r="B64">
        <v>44016</v>
      </c>
      <c r="C64">
        <v>43387</v>
      </c>
      <c r="E64">
        <v>8050</v>
      </c>
      <c r="F64">
        <v>110</v>
      </c>
      <c r="H64">
        <v>50</v>
      </c>
      <c r="I64">
        <v>3000</v>
      </c>
    </row>
    <row r="65" spans="1:9" x14ac:dyDescent="0.25">
      <c r="A65" t="s">
        <v>31</v>
      </c>
      <c r="B65">
        <v>48097</v>
      </c>
      <c r="C65">
        <v>43390</v>
      </c>
      <c r="E65">
        <v>8060</v>
      </c>
      <c r="F65">
        <v>109</v>
      </c>
      <c r="H65">
        <v>60</v>
      </c>
      <c r="I65">
        <v>1680</v>
      </c>
    </row>
    <row r="66" spans="1:9" x14ac:dyDescent="0.25">
      <c r="A66" t="s">
        <v>31</v>
      </c>
      <c r="B66">
        <v>48097</v>
      </c>
      <c r="C66">
        <v>43390</v>
      </c>
      <c r="E66">
        <v>8060</v>
      </c>
      <c r="F66">
        <v>110</v>
      </c>
      <c r="H66">
        <v>70</v>
      </c>
      <c r="I66">
        <v>4200</v>
      </c>
    </row>
    <row r="67" spans="1:9" x14ac:dyDescent="0.25">
      <c r="A67" t="s">
        <v>31</v>
      </c>
      <c r="B67">
        <v>48099</v>
      </c>
      <c r="C67">
        <v>43390</v>
      </c>
      <c r="E67">
        <v>8050</v>
      </c>
      <c r="F67">
        <v>109</v>
      </c>
      <c r="G67">
        <v>1</v>
      </c>
      <c r="H67">
        <v>60</v>
      </c>
      <c r="I67">
        <v>1680</v>
      </c>
    </row>
    <row r="68" spans="1:9" x14ac:dyDescent="0.25">
      <c r="A68" t="s">
        <v>31</v>
      </c>
      <c r="B68">
        <v>48099</v>
      </c>
      <c r="C68">
        <v>43390</v>
      </c>
      <c r="E68">
        <v>8050</v>
      </c>
      <c r="F68">
        <v>110</v>
      </c>
      <c r="H68">
        <v>60</v>
      </c>
      <c r="I68">
        <v>3600</v>
      </c>
    </row>
    <row r="69" spans="1:9" x14ac:dyDescent="0.25">
      <c r="A69" t="s">
        <v>31</v>
      </c>
      <c r="B69">
        <v>48099</v>
      </c>
      <c r="C69">
        <v>43390</v>
      </c>
      <c r="E69">
        <v>8050</v>
      </c>
      <c r="F69">
        <v>111</v>
      </c>
      <c r="H69">
        <v>60</v>
      </c>
      <c r="I69">
        <v>1200</v>
      </c>
    </row>
    <row r="70" spans="1:9" x14ac:dyDescent="0.25">
      <c r="A70" t="s">
        <v>31</v>
      </c>
      <c r="B70">
        <v>48101</v>
      </c>
      <c r="C70">
        <v>43390</v>
      </c>
      <c r="E70">
        <v>8060</v>
      </c>
      <c r="F70">
        <v>109</v>
      </c>
      <c r="H70">
        <v>60</v>
      </c>
      <c r="I70">
        <v>1680</v>
      </c>
    </row>
    <row r="71" spans="1:9" x14ac:dyDescent="0.25">
      <c r="A71" t="s">
        <v>31</v>
      </c>
      <c r="B71">
        <v>48101</v>
      </c>
      <c r="C71">
        <v>43390</v>
      </c>
      <c r="E71">
        <v>8060</v>
      </c>
      <c r="F71">
        <v>110</v>
      </c>
      <c r="H71">
        <v>50</v>
      </c>
      <c r="I71">
        <v>3000</v>
      </c>
    </row>
    <row r="72" spans="1:9" x14ac:dyDescent="0.25">
      <c r="A72" t="s">
        <v>31</v>
      </c>
      <c r="B72">
        <v>45427</v>
      </c>
      <c r="C72">
        <v>43394</v>
      </c>
      <c r="E72">
        <v>8050</v>
      </c>
      <c r="F72">
        <v>108</v>
      </c>
      <c r="H72">
        <v>70</v>
      </c>
      <c r="I72">
        <v>1960</v>
      </c>
    </row>
    <row r="73" spans="1:9" x14ac:dyDescent="0.25">
      <c r="A73" t="s">
        <v>31</v>
      </c>
      <c r="B73">
        <v>45427</v>
      </c>
      <c r="C73">
        <v>43394</v>
      </c>
      <c r="E73">
        <v>8050</v>
      </c>
      <c r="F73">
        <v>109</v>
      </c>
      <c r="H73">
        <v>60</v>
      </c>
      <c r="I73">
        <v>1680</v>
      </c>
    </row>
    <row r="74" spans="1:9" x14ac:dyDescent="0.25">
      <c r="A74" t="s">
        <v>31</v>
      </c>
      <c r="B74">
        <v>45429</v>
      </c>
      <c r="C74">
        <v>43394</v>
      </c>
      <c r="E74">
        <v>8060</v>
      </c>
      <c r="F74">
        <v>108</v>
      </c>
      <c r="H74">
        <v>80</v>
      </c>
      <c r="I74">
        <v>2240</v>
      </c>
    </row>
    <row r="75" spans="1:9" x14ac:dyDescent="0.25">
      <c r="A75" t="s">
        <v>31</v>
      </c>
      <c r="B75">
        <v>45429</v>
      </c>
      <c r="C75">
        <v>43394</v>
      </c>
      <c r="E75">
        <v>8060</v>
      </c>
      <c r="F75">
        <v>109</v>
      </c>
      <c r="G75">
        <v>2</v>
      </c>
      <c r="H75">
        <v>80</v>
      </c>
      <c r="I75">
        <v>2240</v>
      </c>
    </row>
    <row r="76" spans="1:9" x14ac:dyDescent="0.25">
      <c r="A76" t="s">
        <v>31</v>
      </c>
      <c r="B76">
        <v>45429</v>
      </c>
      <c r="C76">
        <v>43394</v>
      </c>
      <c r="E76">
        <v>8060</v>
      </c>
      <c r="F76">
        <v>110</v>
      </c>
      <c r="H76">
        <v>50</v>
      </c>
      <c r="I76">
        <v>3000</v>
      </c>
    </row>
    <row r="77" spans="1:9" x14ac:dyDescent="0.25">
      <c r="A77" t="s">
        <v>31</v>
      </c>
      <c r="B77">
        <v>45431</v>
      </c>
      <c r="C77">
        <v>43394</v>
      </c>
      <c r="E77">
        <v>8050</v>
      </c>
      <c r="F77">
        <v>111</v>
      </c>
      <c r="H77">
        <v>60</v>
      </c>
      <c r="I77">
        <v>1200</v>
      </c>
    </row>
    <row r="78" spans="1:9" x14ac:dyDescent="0.25">
      <c r="A78" t="s">
        <v>31</v>
      </c>
      <c r="B78">
        <v>45431</v>
      </c>
      <c r="C78">
        <v>43394</v>
      </c>
      <c r="E78">
        <v>8050</v>
      </c>
      <c r="F78">
        <v>108</v>
      </c>
      <c r="H78">
        <v>60</v>
      </c>
      <c r="I78">
        <v>1680</v>
      </c>
    </row>
    <row r="79" spans="1:9" x14ac:dyDescent="0.25">
      <c r="A79" t="s">
        <v>29</v>
      </c>
      <c r="B79">
        <v>24030</v>
      </c>
      <c r="C79">
        <v>43375</v>
      </c>
      <c r="D79" t="s">
        <v>104</v>
      </c>
      <c r="E79">
        <v>8020</v>
      </c>
      <c r="F79">
        <v>101</v>
      </c>
      <c r="G79">
        <v>1</v>
      </c>
      <c r="H79">
        <v>130</v>
      </c>
      <c r="I79">
        <v>1560</v>
      </c>
    </row>
    <row r="80" spans="1:9" x14ac:dyDescent="0.25">
      <c r="A80" t="s">
        <v>29</v>
      </c>
      <c r="B80">
        <v>24030</v>
      </c>
      <c r="C80">
        <v>43375</v>
      </c>
      <c r="D80" t="s">
        <v>105</v>
      </c>
      <c r="E80">
        <v>8020</v>
      </c>
      <c r="F80">
        <v>102</v>
      </c>
      <c r="H80">
        <v>30</v>
      </c>
      <c r="I80">
        <v>360</v>
      </c>
    </row>
    <row r="81" spans="1:9" x14ac:dyDescent="0.25">
      <c r="A81" t="s">
        <v>29</v>
      </c>
      <c r="B81">
        <v>24030</v>
      </c>
      <c r="C81">
        <v>43375</v>
      </c>
      <c r="D81" t="s">
        <v>104</v>
      </c>
      <c r="E81">
        <v>8020</v>
      </c>
      <c r="F81">
        <v>106</v>
      </c>
      <c r="G81" t="s">
        <v>93</v>
      </c>
      <c r="H81">
        <v>60</v>
      </c>
      <c r="I81">
        <v>300</v>
      </c>
    </row>
    <row r="82" spans="1:9" x14ac:dyDescent="0.25">
      <c r="A82" t="s">
        <v>29</v>
      </c>
      <c r="B82">
        <v>24030</v>
      </c>
      <c r="C82">
        <v>43375</v>
      </c>
      <c r="D82" t="s">
        <v>106</v>
      </c>
      <c r="E82">
        <v>8020</v>
      </c>
      <c r="F82">
        <v>108</v>
      </c>
      <c r="H82">
        <v>80</v>
      </c>
      <c r="I82">
        <v>2240</v>
      </c>
    </row>
    <row r="83" spans="1:9" x14ac:dyDescent="0.25">
      <c r="A83" t="s">
        <v>29</v>
      </c>
      <c r="B83">
        <v>24031</v>
      </c>
      <c r="C83">
        <v>43381</v>
      </c>
      <c r="D83" t="s">
        <v>107</v>
      </c>
      <c r="E83">
        <v>8020</v>
      </c>
      <c r="F83">
        <v>101</v>
      </c>
      <c r="G83" t="s">
        <v>93</v>
      </c>
      <c r="H83">
        <v>100</v>
      </c>
      <c r="I83">
        <v>1200</v>
      </c>
    </row>
    <row r="84" spans="1:9" x14ac:dyDescent="0.25">
      <c r="A84" t="s">
        <v>29</v>
      </c>
      <c r="B84">
        <v>24031</v>
      </c>
      <c r="C84">
        <v>43381</v>
      </c>
      <c r="D84" t="s">
        <v>108</v>
      </c>
      <c r="E84">
        <v>8020</v>
      </c>
      <c r="F84">
        <v>108</v>
      </c>
      <c r="G84" t="s">
        <v>93</v>
      </c>
      <c r="H84">
        <v>20</v>
      </c>
      <c r="I84">
        <v>560</v>
      </c>
    </row>
    <row r="85" spans="1:9" x14ac:dyDescent="0.25">
      <c r="A85" t="s">
        <v>29</v>
      </c>
      <c r="B85">
        <v>24031</v>
      </c>
      <c r="C85">
        <v>43381</v>
      </c>
      <c r="D85" t="s">
        <v>109</v>
      </c>
      <c r="E85">
        <v>8020</v>
      </c>
      <c r="F85">
        <v>113</v>
      </c>
      <c r="G85" t="s">
        <v>93</v>
      </c>
      <c r="H85">
        <v>100</v>
      </c>
      <c r="I85">
        <v>2500</v>
      </c>
    </row>
    <row r="86" spans="1:9" x14ac:dyDescent="0.25">
      <c r="A86" t="s">
        <v>29</v>
      </c>
      <c r="B86">
        <v>28112</v>
      </c>
      <c r="C86">
        <v>43385</v>
      </c>
      <c r="D86" t="s">
        <v>110</v>
      </c>
      <c r="E86">
        <v>8020</v>
      </c>
      <c r="F86">
        <v>114</v>
      </c>
      <c r="G86">
        <v>1</v>
      </c>
      <c r="H86">
        <v>50</v>
      </c>
      <c r="I86">
        <v>1250</v>
      </c>
    </row>
    <row r="87" spans="1:9" x14ac:dyDescent="0.25">
      <c r="A87" t="s">
        <v>29</v>
      </c>
      <c r="B87">
        <v>28112</v>
      </c>
      <c r="C87">
        <v>43385</v>
      </c>
      <c r="D87" t="s">
        <v>104</v>
      </c>
      <c r="E87">
        <v>8020</v>
      </c>
      <c r="F87">
        <v>101</v>
      </c>
      <c r="G87" t="s">
        <v>93</v>
      </c>
      <c r="H87">
        <v>40</v>
      </c>
      <c r="I87">
        <v>480</v>
      </c>
    </row>
    <row r="88" spans="1:9" x14ac:dyDescent="0.25">
      <c r="A88" t="s">
        <v>29</v>
      </c>
      <c r="B88">
        <v>28112</v>
      </c>
      <c r="C88">
        <v>43385</v>
      </c>
      <c r="D88" t="s">
        <v>110</v>
      </c>
      <c r="E88">
        <v>8020</v>
      </c>
      <c r="F88">
        <v>102</v>
      </c>
      <c r="H88">
        <v>70</v>
      </c>
      <c r="I88">
        <v>840</v>
      </c>
    </row>
    <row r="89" spans="1:9" x14ac:dyDescent="0.25">
      <c r="A89" t="s">
        <v>29</v>
      </c>
      <c r="B89">
        <v>28112</v>
      </c>
      <c r="C89">
        <v>43385</v>
      </c>
      <c r="D89" t="s">
        <v>109</v>
      </c>
      <c r="E89">
        <v>8020</v>
      </c>
      <c r="F89">
        <v>106</v>
      </c>
      <c r="H89">
        <v>70</v>
      </c>
      <c r="I89">
        <v>350</v>
      </c>
    </row>
    <row r="90" spans="1:9" x14ac:dyDescent="0.25">
      <c r="A90" t="s">
        <v>29</v>
      </c>
      <c r="B90">
        <v>28112</v>
      </c>
      <c r="C90">
        <v>43385</v>
      </c>
      <c r="D90" t="s">
        <v>106</v>
      </c>
      <c r="E90">
        <v>8020</v>
      </c>
      <c r="F90">
        <v>108</v>
      </c>
      <c r="H90">
        <v>10</v>
      </c>
      <c r="I90">
        <v>280</v>
      </c>
    </row>
    <row r="91" spans="1:9" x14ac:dyDescent="0.25">
      <c r="A91" t="s">
        <v>29</v>
      </c>
      <c r="B91">
        <v>28112</v>
      </c>
      <c r="C91">
        <v>43385</v>
      </c>
      <c r="D91" t="s">
        <v>108</v>
      </c>
      <c r="E91">
        <v>8020</v>
      </c>
      <c r="F91">
        <v>117</v>
      </c>
      <c r="H91">
        <v>80</v>
      </c>
      <c r="I91">
        <v>1440</v>
      </c>
    </row>
    <row r="92" spans="1:9" x14ac:dyDescent="0.25">
      <c r="A92" t="s">
        <v>29</v>
      </c>
      <c r="B92">
        <v>28112</v>
      </c>
      <c r="C92">
        <v>43385</v>
      </c>
      <c r="D92" t="s">
        <v>107</v>
      </c>
      <c r="E92">
        <v>8020</v>
      </c>
      <c r="F92">
        <v>118</v>
      </c>
      <c r="H92">
        <v>70</v>
      </c>
      <c r="I92">
        <v>1260</v>
      </c>
    </row>
    <row r="93" spans="1:9" x14ac:dyDescent="0.25">
      <c r="A93" t="s">
        <v>29</v>
      </c>
      <c r="B93">
        <v>25442</v>
      </c>
      <c r="C93">
        <v>43389</v>
      </c>
      <c r="D93" t="s">
        <v>108</v>
      </c>
      <c r="E93">
        <v>8010</v>
      </c>
      <c r="F93">
        <v>118</v>
      </c>
      <c r="H93">
        <v>70</v>
      </c>
      <c r="I93">
        <v>1260</v>
      </c>
    </row>
    <row r="94" spans="1:9" x14ac:dyDescent="0.25">
      <c r="A94" t="s">
        <v>29</v>
      </c>
      <c r="B94">
        <v>25442</v>
      </c>
      <c r="C94">
        <v>43389</v>
      </c>
      <c r="D94" t="s">
        <v>111</v>
      </c>
      <c r="E94">
        <v>8010</v>
      </c>
      <c r="F94">
        <v>117</v>
      </c>
      <c r="G94">
        <v>6</v>
      </c>
      <c r="H94">
        <v>80</v>
      </c>
      <c r="I94">
        <v>1440</v>
      </c>
    </row>
    <row r="95" spans="1:9" x14ac:dyDescent="0.25">
      <c r="A95" t="s">
        <v>29</v>
      </c>
      <c r="B95">
        <v>25442</v>
      </c>
      <c r="C95">
        <v>43389</v>
      </c>
      <c r="D95" t="s">
        <v>111</v>
      </c>
      <c r="E95">
        <v>8010</v>
      </c>
      <c r="F95">
        <v>118</v>
      </c>
      <c r="H95">
        <v>70</v>
      </c>
      <c r="I95">
        <v>1260</v>
      </c>
    </row>
    <row r="96" spans="1:9" x14ac:dyDescent="0.25">
      <c r="A96" t="s">
        <v>29</v>
      </c>
      <c r="B96">
        <v>25442</v>
      </c>
      <c r="C96">
        <v>43389</v>
      </c>
      <c r="D96" t="s">
        <v>110</v>
      </c>
      <c r="E96">
        <v>8010</v>
      </c>
      <c r="F96">
        <v>116</v>
      </c>
      <c r="G96">
        <v>1</v>
      </c>
      <c r="H96">
        <v>60</v>
      </c>
      <c r="I96">
        <v>360</v>
      </c>
    </row>
    <row r="97" spans="1:9" x14ac:dyDescent="0.25">
      <c r="A97" t="s">
        <v>29</v>
      </c>
      <c r="B97">
        <v>25442</v>
      </c>
      <c r="C97">
        <v>43389</v>
      </c>
      <c r="D97" t="s">
        <v>104</v>
      </c>
      <c r="E97">
        <v>8010</v>
      </c>
      <c r="F97">
        <v>106</v>
      </c>
      <c r="H97">
        <v>20</v>
      </c>
      <c r="I97">
        <v>100</v>
      </c>
    </row>
    <row r="98" spans="1:9" x14ac:dyDescent="0.25">
      <c r="A98" t="s">
        <v>29</v>
      </c>
      <c r="B98">
        <v>25442</v>
      </c>
      <c r="C98">
        <v>43389</v>
      </c>
      <c r="D98" t="s">
        <v>106</v>
      </c>
      <c r="E98">
        <v>8010</v>
      </c>
      <c r="F98">
        <v>101</v>
      </c>
      <c r="H98">
        <v>40</v>
      </c>
      <c r="I98">
        <v>480</v>
      </c>
    </row>
    <row r="99" spans="1:9" x14ac:dyDescent="0.25">
      <c r="A99" t="s">
        <v>29</v>
      </c>
      <c r="B99">
        <v>25442</v>
      </c>
      <c r="C99">
        <v>43389</v>
      </c>
      <c r="D99" t="s">
        <v>105</v>
      </c>
      <c r="E99">
        <v>8010</v>
      </c>
      <c r="F99">
        <v>102</v>
      </c>
      <c r="H99">
        <v>10</v>
      </c>
      <c r="I99">
        <v>120</v>
      </c>
    </row>
    <row r="100" spans="1:9" x14ac:dyDescent="0.25">
      <c r="A100" t="s">
        <v>28</v>
      </c>
      <c r="B100">
        <v>66030</v>
      </c>
      <c r="C100">
        <v>43377</v>
      </c>
      <c r="D100" t="s">
        <v>112</v>
      </c>
      <c r="E100">
        <v>8010</v>
      </c>
      <c r="F100">
        <v>103</v>
      </c>
      <c r="G100" t="s">
        <v>93</v>
      </c>
      <c r="H100">
        <v>120</v>
      </c>
      <c r="I100">
        <v>1440</v>
      </c>
    </row>
    <row r="101" spans="1:9" x14ac:dyDescent="0.25">
      <c r="A101" t="s">
        <v>28</v>
      </c>
      <c r="B101">
        <v>66030</v>
      </c>
      <c r="C101">
        <v>43377</v>
      </c>
      <c r="D101" t="s">
        <v>113</v>
      </c>
      <c r="E101">
        <v>8010</v>
      </c>
      <c r="F101">
        <v>104</v>
      </c>
      <c r="H101">
        <v>150</v>
      </c>
      <c r="I101">
        <v>1800</v>
      </c>
    </row>
    <row r="102" spans="1:9" x14ac:dyDescent="0.25">
      <c r="A102" t="s">
        <v>28</v>
      </c>
      <c r="B102">
        <v>66032</v>
      </c>
      <c r="C102">
        <v>43380</v>
      </c>
      <c r="D102" t="s">
        <v>114</v>
      </c>
      <c r="E102">
        <v>8010</v>
      </c>
      <c r="F102">
        <v>103</v>
      </c>
      <c r="H102">
        <v>170</v>
      </c>
      <c r="I102">
        <v>2040</v>
      </c>
    </row>
    <row r="103" spans="1:9" x14ac:dyDescent="0.25">
      <c r="A103" t="s">
        <v>28</v>
      </c>
      <c r="B103">
        <v>66032</v>
      </c>
      <c r="C103">
        <v>43380</v>
      </c>
      <c r="D103" t="s">
        <v>115</v>
      </c>
      <c r="E103">
        <v>8010</v>
      </c>
      <c r="F103">
        <v>104</v>
      </c>
      <c r="H103">
        <v>140</v>
      </c>
      <c r="I103">
        <v>1680</v>
      </c>
    </row>
    <row r="104" spans="1:9" x14ac:dyDescent="0.25">
      <c r="A104" t="s">
        <v>28</v>
      </c>
      <c r="B104">
        <v>66031</v>
      </c>
      <c r="C104">
        <v>43381</v>
      </c>
      <c r="D104" t="s">
        <v>116</v>
      </c>
      <c r="E104">
        <v>8020</v>
      </c>
      <c r="F104">
        <v>103</v>
      </c>
      <c r="G104">
        <v>1</v>
      </c>
      <c r="H104">
        <v>140</v>
      </c>
      <c r="I104">
        <v>1680</v>
      </c>
    </row>
    <row r="105" spans="1:9" x14ac:dyDescent="0.25">
      <c r="A105" t="s">
        <v>28</v>
      </c>
      <c r="B105">
        <v>66031</v>
      </c>
      <c r="C105">
        <v>43381</v>
      </c>
      <c r="D105" t="s">
        <v>117</v>
      </c>
      <c r="E105">
        <v>8020</v>
      </c>
      <c r="F105">
        <v>104</v>
      </c>
      <c r="H105">
        <v>150</v>
      </c>
      <c r="I105">
        <v>1800</v>
      </c>
    </row>
    <row r="106" spans="1:9" x14ac:dyDescent="0.25">
      <c r="A106" t="s">
        <v>28</v>
      </c>
      <c r="B106">
        <v>66031</v>
      </c>
      <c r="C106">
        <v>43381</v>
      </c>
      <c r="D106" t="s">
        <v>118</v>
      </c>
      <c r="E106">
        <v>8020</v>
      </c>
      <c r="F106">
        <v>105</v>
      </c>
      <c r="H106">
        <v>100</v>
      </c>
      <c r="I106">
        <v>1000</v>
      </c>
    </row>
    <row r="107" spans="1:9" x14ac:dyDescent="0.25">
      <c r="A107" t="s">
        <v>28</v>
      </c>
      <c r="B107">
        <v>68112</v>
      </c>
      <c r="C107">
        <v>43384</v>
      </c>
      <c r="D107" t="s">
        <v>119</v>
      </c>
      <c r="E107">
        <v>8010</v>
      </c>
      <c r="F107">
        <v>104</v>
      </c>
      <c r="G107">
        <v>4</v>
      </c>
      <c r="H107">
        <v>180</v>
      </c>
      <c r="I107">
        <v>2160</v>
      </c>
    </row>
    <row r="108" spans="1:9" x14ac:dyDescent="0.25">
      <c r="A108" t="s">
        <v>28</v>
      </c>
      <c r="B108">
        <v>68112</v>
      </c>
      <c r="C108">
        <v>43384</v>
      </c>
      <c r="D108" t="s">
        <v>114</v>
      </c>
      <c r="E108">
        <v>8010</v>
      </c>
      <c r="F108">
        <v>105</v>
      </c>
      <c r="H108">
        <v>120</v>
      </c>
      <c r="I108">
        <v>1200</v>
      </c>
    </row>
    <row r="109" spans="1:9" x14ac:dyDescent="0.25">
      <c r="A109" t="s">
        <v>28</v>
      </c>
      <c r="B109">
        <v>68116</v>
      </c>
      <c r="C109">
        <v>43384</v>
      </c>
      <c r="D109" t="s">
        <v>120</v>
      </c>
      <c r="E109">
        <v>8020</v>
      </c>
      <c r="F109">
        <v>104</v>
      </c>
      <c r="H109">
        <v>150</v>
      </c>
      <c r="I109">
        <v>1800</v>
      </c>
    </row>
    <row r="110" spans="1:9" x14ac:dyDescent="0.25">
      <c r="A110" t="s">
        <v>28</v>
      </c>
      <c r="B110">
        <v>68116</v>
      </c>
      <c r="C110">
        <v>43384</v>
      </c>
      <c r="D110" t="s">
        <v>119</v>
      </c>
      <c r="E110">
        <v>8020</v>
      </c>
      <c r="F110">
        <v>105</v>
      </c>
      <c r="H110">
        <v>190</v>
      </c>
      <c r="I110">
        <v>1900</v>
      </c>
    </row>
    <row r="111" spans="1:9" x14ac:dyDescent="0.25">
      <c r="A111" t="s">
        <v>28</v>
      </c>
      <c r="B111">
        <v>68116</v>
      </c>
      <c r="C111">
        <v>43384</v>
      </c>
      <c r="D111" t="s">
        <v>116</v>
      </c>
      <c r="E111">
        <v>8020</v>
      </c>
      <c r="F111">
        <v>107</v>
      </c>
      <c r="G111">
        <v>2</v>
      </c>
      <c r="H111">
        <v>160</v>
      </c>
      <c r="I111">
        <v>800</v>
      </c>
    </row>
    <row r="112" spans="1:9" x14ac:dyDescent="0.25">
      <c r="A112" t="s">
        <v>28</v>
      </c>
      <c r="B112">
        <v>68116</v>
      </c>
      <c r="C112">
        <v>43384</v>
      </c>
      <c r="D112" t="s">
        <v>116</v>
      </c>
      <c r="E112">
        <v>8010</v>
      </c>
      <c r="F112">
        <v>104</v>
      </c>
      <c r="H112">
        <v>160</v>
      </c>
      <c r="I112">
        <v>1920</v>
      </c>
    </row>
    <row r="113" spans="1:9" x14ac:dyDescent="0.25">
      <c r="A113" t="s">
        <v>28</v>
      </c>
      <c r="B113">
        <v>68116</v>
      </c>
      <c r="C113">
        <v>43384</v>
      </c>
      <c r="D113" t="s">
        <v>112</v>
      </c>
      <c r="E113">
        <v>8010</v>
      </c>
      <c r="F113">
        <v>105</v>
      </c>
      <c r="H113">
        <v>190</v>
      </c>
      <c r="I113">
        <v>1900</v>
      </c>
    </row>
    <row r="114" spans="1:9" x14ac:dyDescent="0.25">
      <c r="A114" t="s">
        <v>28</v>
      </c>
      <c r="B114">
        <v>65662</v>
      </c>
      <c r="C114">
        <v>43388</v>
      </c>
      <c r="D114" t="s">
        <v>115</v>
      </c>
      <c r="E114">
        <v>8020</v>
      </c>
      <c r="F114">
        <v>103</v>
      </c>
      <c r="H114">
        <v>120</v>
      </c>
      <c r="I114">
        <v>1440</v>
      </c>
    </row>
    <row r="115" spans="1:9" x14ac:dyDescent="0.25">
      <c r="A115" t="s">
        <v>28</v>
      </c>
      <c r="B115">
        <v>65662</v>
      </c>
      <c r="C115">
        <v>43388</v>
      </c>
      <c r="D115" t="s">
        <v>118</v>
      </c>
      <c r="E115">
        <v>8020</v>
      </c>
      <c r="F115">
        <v>104</v>
      </c>
      <c r="H115">
        <v>110</v>
      </c>
      <c r="I115">
        <v>1320</v>
      </c>
    </row>
    <row r="116" spans="1:9" x14ac:dyDescent="0.25">
      <c r="A116" t="s">
        <v>28</v>
      </c>
      <c r="B116">
        <v>65666</v>
      </c>
      <c r="C116">
        <v>43388</v>
      </c>
      <c r="D116" t="s">
        <v>115</v>
      </c>
      <c r="E116">
        <v>8010</v>
      </c>
      <c r="F116">
        <v>103</v>
      </c>
      <c r="H116">
        <v>120</v>
      </c>
      <c r="I116">
        <v>1440</v>
      </c>
    </row>
    <row r="117" spans="1:9" x14ac:dyDescent="0.25">
      <c r="A117" t="s">
        <v>28</v>
      </c>
      <c r="B117">
        <v>65666</v>
      </c>
      <c r="C117">
        <v>43388</v>
      </c>
      <c r="D117" t="s">
        <v>114</v>
      </c>
      <c r="E117">
        <v>8010</v>
      </c>
      <c r="F117">
        <v>104</v>
      </c>
      <c r="H117">
        <v>140</v>
      </c>
      <c r="I117">
        <v>1680</v>
      </c>
    </row>
    <row r="118" spans="1:9" x14ac:dyDescent="0.25">
      <c r="A118" t="s">
        <v>28</v>
      </c>
      <c r="B118">
        <v>65666</v>
      </c>
      <c r="C118">
        <v>43388</v>
      </c>
      <c r="D118" t="s">
        <v>113</v>
      </c>
      <c r="E118">
        <v>8010</v>
      </c>
      <c r="F118">
        <v>105</v>
      </c>
      <c r="H118">
        <v>160</v>
      </c>
      <c r="I118">
        <v>1600</v>
      </c>
    </row>
    <row r="119" spans="1:9" x14ac:dyDescent="0.25">
      <c r="A119" t="s">
        <v>28</v>
      </c>
      <c r="B119">
        <v>65666</v>
      </c>
      <c r="C119">
        <v>43388</v>
      </c>
      <c r="D119" t="s">
        <v>120</v>
      </c>
      <c r="E119">
        <v>8020</v>
      </c>
      <c r="F119">
        <v>107</v>
      </c>
      <c r="H119">
        <v>120</v>
      </c>
      <c r="I119">
        <v>600</v>
      </c>
    </row>
    <row r="120" spans="1:9" x14ac:dyDescent="0.25">
      <c r="A120" t="s">
        <v>28</v>
      </c>
      <c r="B120">
        <v>65666</v>
      </c>
      <c r="C120">
        <v>43388</v>
      </c>
      <c r="D120" t="s">
        <v>115</v>
      </c>
      <c r="E120">
        <v>8020</v>
      </c>
      <c r="F120">
        <v>103</v>
      </c>
      <c r="H120">
        <v>200</v>
      </c>
      <c r="I120">
        <v>2400</v>
      </c>
    </row>
    <row r="121" spans="1:9" x14ac:dyDescent="0.25">
      <c r="A121" t="s">
        <v>28</v>
      </c>
      <c r="B121">
        <v>66015</v>
      </c>
      <c r="C121">
        <v>43383</v>
      </c>
      <c r="D121" t="s">
        <v>119</v>
      </c>
      <c r="E121">
        <v>8010</v>
      </c>
      <c r="F121">
        <v>103</v>
      </c>
      <c r="H121">
        <v>140</v>
      </c>
      <c r="I121">
        <v>1680</v>
      </c>
    </row>
    <row r="122" spans="1:9" x14ac:dyDescent="0.25">
      <c r="A122" t="s">
        <v>28</v>
      </c>
      <c r="B122">
        <v>66015</v>
      </c>
      <c r="C122">
        <v>43383</v>
      </c>
      <c r="D122" t="s">
        <v>112</v>
      </c>
      <c r="E122">
        <v>8010</v>
      </c>
      <c r="F122">
        <v>104</v>
      </c>
      <c r="H122">
        <v>140</v>
      </c>
      <c r="I122">
        <v>1680</v>
      </c>
    </row>
    <row r="123" spans="1:9" x14ac:dyDescent="0.25">
      <c r="A123" t="s">
        <v>28</v>
      </c>
      <c r="B123">
        <v>66017</v>
      </c>
      <c r="C123">
        <v>43386</v>
      </c>
      <c r="D123" t="s">
        <v>112</v>
      </c>
      <c r="E123">
        <v>8010</v>
      </c>
      <c r="F123">
        <v>103</v>
      </c>
      <c r="H123">
        <v>140</v>
      </c>
      <c r="I123">
        <v>1680</v>
      </c>
    </row>
    <row r="124" spans="1:9" x14ac:dyDescent="0.25">
      <c r="A124" t="s">
        <v>28</v>
      </c>
      <c r="B124">
        <v>66017</v>
      </c>
      <c r="C124">
        <v>43386</v>
      </c>
      <c r="D124" t="s">
        <v>119</v>
      </c>
      <c r="E124">
        <v>8010</v>
      </c>
      <c r="F124">
        <v>104</v>
      </c>
      <c r="H124">
        <v>140</v>
      </c>
      <c r="I124">
        <v>1680</v>
      </c>
    </row>
    <row r="125" spans="1:9" x14ac:dyDescent="0.25">
      <c r="A125" t="s">
        <v>28</v>
      </c>
      <c r="B125">
        <v>66016</v>
      </c>
      <c r="C125">
        <v>43387</v>
      </c>
      <c r="D125" t="s">
        <v>121</v>
      </c>
      <c r="E125">
        <v>8020</v>
      </c>
      <c r="F125">
        <v>103</v>
      </c>
      <c r="H125">
        <v>120</v>
      </c>
      <c r="I125">
        <v>1440</v>
      </c>
    </row>
    <row r="126" spans="1:9" x14ac:dyDescent="0.25">
      <c r="A126" t="s">
        <v>28</v>
      </c>
      <c r="B126">
        <v>66016</v>
      </c>
      <c r="C126">
        <v>43387</v>
      </c>
      <c r="D126" t="s">
        <v>121</v>
      </c>
      <c r="E126">
        <v>8020</v>
      </c>
      <c r="F126">
        <v>104</v>
      </c>
      <c r="H126">
        <v>130</v>
      </c>
      <c r="I126">
        <v>1560</v>
      </c>
    </row>
    <row r="127" spans="1:9" x14ac:dyDescent="0.25">
      <c r="A127" t="s">
        <v>28</v>
      </c>
      <c r="B127">
        <v>66016</v>
      </c>
      <c r="C127">
        <v>43387</v>
      </c>
      <c r="D127" t="s">
        <v>116</v>
      </c>
      <c r="E127">
        <v>8020</v>
      </c>
      <c r="F127">
        <v>105</v>
      </c>
      <c r="H127">
        <v>120</v>
      </c>
      <c r="I127">
        <v>1200</v>
      </c>
    </row>
    <row r="128" spans="1:9" x14ac:dyDescent="0.25">
      <c r="A128" t="s">
        <v>28</v>
      </c>
      <c r="B128">
        <v>68097</v>
      </c>
      <c r="C128">
        <v>43390</v>
      </c>
      <c r="D128" t="s">
        <v>118</v>
      </c>
      <c r="E128">
        <v>8010</v>
      </c>
      <c r="F128">
        <v>104</v>
      </c>
      <c r="H128">
        <v>140</v>
      </c>
      <c r="I128">
        <v>1680</v>
      </c>
    </row>
    <row r="129" spans="1:9" x14ac:dyDescent="0.25">
      <c r="A129" t="s">
        <v>28</v>
      </c>
      <c r="B129">
        <v>68097</v>
      </c>
      <c r="C129">
        <v>43390</v>
      </c>
      <c r="D129" t="s">
        <v>116</v>
      </c>
      <c r="E129">
        <v>8010</v>
      </c>
      <c r="F129">
        <v>105</v>
      </c>
      <c r="H129">
        <v>130</v>
      </c>
      <c r="I129">
        <v>1300</v>
      </c>
    </row>
    <row r="130" spans="1:9" x14ac:dyDescent="0.25">
      <c r="A130" t="s">
        <v>28</v>
      </c>
      <c r="B130">
        <v>68099</v>
      </c>
      <c r="C130">
        <v>43390</v>
      </c>
      <c r="D130" t="s">
        <v>115</v>
      </c>
      <c r="E130">
        <v>8020</v>
      </c>
      <c r="F130">
        <v>104</v>
      </c>
      <c r="H130">
        <v>120</v>
      </c>
      <c r="I130">
        <v>1440</v>
      </c>
    </row>
    <row r="131" spans="1:9" x14ac:dyDescent="0.25">
      <c r="A131" t="s">
        <v>28</v>
      </c>
      <c r="B131">
        <v>68099</v>
      </c>
      <c r="C131">
        <v>43390</v>
      </c>
      <c r="D131" t="s">
        <v>116</v>
      </c>
      <c r="E131">
        <v>8020</v>
      </c>
      <c r="F131">
        <v>105</v>
      </c>
      <c r="G131">
        <v>2</v>
      </c>
      <c r="H131">
        <v>140</v>
      </c>
      <c r="I131">
        <v>1400</v>
      </c>
    </row>
    <row r="132" spans="1:9" x14ac:dyDescent="0.25">
      <c r="A132" t="s">
        <v>28</v>
      </c>
      <c r="B132">
        <v>68099</v>
      </c>
      <c r="C132">
        <v>43390</v>
      </c>
      <c r="D132" t="s">
        <v>118</v>
      </c>
      <c r="E132">
        <v>8020</v>
      </c>
      <c r="F132">
        <v>107</v>
      </c>
      <c r="H132">
        <v>170</v>
      </c>
      <c r="I132">
        <v>850</v>
      </c>
    </row>
    <row r="133" spans="1:9" x14ac:dyDescent="0.25">
      <c r="A133" t="s">
        <v>28</v>
      </c>
      <c r="B133">
        <v>68101</v>
      </c>
      <c r="C133">
        <v>43390</v>
      </c>
      <c r="D133" t="s">
        <v>121</v>
      </c>
      <c r="E133">
        <v>8010</v>
      </c>
      <c r="F133">
        <v>104</v>
      </c>
      <c r="H133">
        <v>190</v>
      </c>
      <c r="I133">
        <v>2280</v>
      </c>
    </row>
    <row r="134" spans="1:9" x14ac:dyDescent="0.25">
      <c r="A134" t="s">
        <v>28</v>
      </c>
      <c r="B134">
        <v>68101</v>
      </c>
      <c r="C134">
        <v>43390</v>
      </c>
      <c r="D134" t="s">
        <v>122</v>
      </c>
      <c r="E134">
        <v>8010</v>
      </c>
      <c r="F134">
        <v>105</v>
      </c>
      <c r="H134">
        <v>140</v>
      </c>
      <c r="I134">
        <v>1400</v>
      </c>
    </row>
    <row r="135" spans="1:9" x14ac:dyDescent="0.25">
      <c r="A135" t="s">
        <v>28</v>
      </c>
      <c r="B135">
        <v>65627</v>
      </c>
      <c r="C135">
        <v>43394</v>
      </c>
      <c r="D135" t="s">
        <v>115</v>
      </c>
      <c r="E135">
        <v>8020</v>
      </c>
      <c r="F135">
        <v>103</v>
      </c>
      <c r="H135">
        <v>140</v>
      </c>
      <c r="I135">
        <v>1680</v>
      </c>
    </row>
    <row r="136" spans="1:9" x14ac:dyDescent="0.25">
      <c r="A136" t="s">
        <v>28</v>
      </c>
      <c r="B136">
        <v>65627</v>
      </c>
      <c r="C136">
        <v>43394</v>
      </c>
      <c r="D136" t="s">
        <v>122</v>
      </c>
      <c r="E136">
        <v>8020</v>
      </c>
      <c r="F136">
        <v>104</v>
      </c>
      <c r="G136">
        <v>3</v>
      </c>
      <c r="H136">
        <v>160</v>
      </c>
      <c r="I136">
        <v>1920</v>
      </c>
    </row>
    <row r="137" spans="1:9" x14ac:dyDescent="0.25">
      <c r="A137" t="s">
        <v>28</v>
      </c>
      <c r="B137">
        <v>65629</v>
      </c>
      <c r="C137">
        <v>43394</v>
      </c>
      <c r="D137" t="s">
        <v>116</v>
      </c>
      <c r="E137">
        <v>8010</v>
      </c>
      <c r="F137">
        <v>103</v>
      </c>
      <c r="H137">
        <v>190</v>
      </c>
      <c r="I137">
        <v>2280</v>
      </c>
    </row>
    <row r="138" spans="1:9" x14ac:dyDescent="0.25">
      <c r="A138" t="s">
        <v>28</v>
      </c>
      <c r="B138">
        <v>65629</v>
      </c>
      <c r="C138">
        <v>43394</v>
      </c>
      <c r="D138" t="s">
        <v>122</v>
      </c>
      <c r="E138">
        <v>8010</v>
      </c>
      <c r="F138">
        <v>104</v>
      </c>
      <c r="H138">
        <v>130</v>
      </c>
      <c r="I138">
        <v>1560</v>
      </c>
    </row>
    <row r="139" spans="1:9" x14ac:dyDescent="0.25">
      <c r="A139" t="s">
        <v>28</v>
      </c>
      <c r="B139">
        <v>65629</v>
      </c>
      <c r="C139">
        <v>43394</v>
      </c>
      <c r="D139" t="s">
        <v>118</v>
      </c>
      <c r="E139">
        <v>8010</v>
      </c>
      <c r="F139">
        <v>105</v>
      </c>
      <c r="H139">
        <v>140</v>
      </c>
      <c r="I139">
        <v>1400</v>
      </c>
    </row>
    <row r="140" spans="1:9" x14ac:dyDescent="0.25">
      <c r="A140" t="s">
        <v>28</v>
      </c>
      <c r="B140">
        <v>65631</v>
      </c>
      <c r="C140">
        <v>43394</v>
      </c>
      <c r="D140" t="s">
        <v>112</v>
      </c>
      <c r="E140">
        <v>8020</v>
      </c>
      <c r="F140">
        <v>107</v>
      </c>
      <c r="H140">
        <v>190</v>
      </c>
      <c r="I140">
        <v>950</v>
      </c>
    </row>
    <row r="141" spans="1:9" x14ac:dyDescent="0.25">
      <c r="A141" t="s">
        <v>28</v>
      </c>
      <c r="B141">
        <v>65631</v>
      </c>
      <c r="C141">
        <v>43394</v>
      </c>
      <c r="D141" t="s">
        <v>117</v>
      </c>
      <c r="E141">
        <v>8020</v>
      </c>
      <c r="F141">
        <v>103</v>
      </c>
      <c r="H141">
        <v>120</v>
      </c>
      <c r="I141">
        <v>1440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P55"/>
  <sheetViews>
    <sheetView topLeftCell="A25" workbookViewId="0">
      <selection activeCell="I32" sqref="I32"/>
    </sheetView>
  </sheetViews>
  <sheetFormatPr defaultColWidth="0" defaultRowHeight="12.5" zeroHeight="1" x14ac:dyDescent="0.25"/>
  <cols>
    <col min="1" max="1" width="1.36328125" style="17" customWidth="1"/>
    <col min="2" max="2" width="3.08984375" style="17" customWidth="1"/>
    <col min="3" max="13" width="9.08984375" style="17" customWidth="1"/>
    <col min="14" max="14" width="12.6328125" style="17" customWidth="1"/>
    <col min="15" max="15" width="2.26953125" style="17" customWidth="1"/>
    <col min="16" max="16" width="2.6328125" style="17" customWidth="1"/>
    <col min="17" max="16384" width="9" hidden="1"/>
  </cols>
  <sheetData>
    <row r="1" spans="1:16" x14ac:dyDescent="0.25">
      <c r="A1" s="12"/>
      <c r="B1" s="12"/>
      <c r="C1" s="12"/>
      <c r="D1" s="12"/>
      <c r="E1" s="12"/>
      <c r="F1" s="12"/>
      <c r="G1" s="12"/>
      <c r="H1" s="12"/>
      <c r="I1" s="12"/>
      <c r="J1" s="12"/>
      <c r="K1" s="12"/>
      <c r="L1" s="12"/>
      <c r="M1" s="12"/>
      <c r="N1" s="12"/>
      <c r="O1" s="12"/>
      <c r="P1" s="12"/>
    </row>
    <row r="2" spans="1:16" x14ac:dyDescent="0.25">
      <c r="A2" s="12"/>
      <c r="B2" s="12"/>
      <c r="C2" s="12"/>
      <c r="D2" s="12"/>
      <c r="E2" s="12"/>
      <c r="F2" s="12"/>
      <c r="G2" s="12"/>
      <c r="H2" s="12"/>
      <c r="I2" s="12"/>
      <c r="J2" s="12"/>
      <c r="K2" s="12"/>
      <c r="L2" s="12"/>
      <c r="M2" s="12"/>
      <c r="N2" s="12"/>
      <c r="O2" s="12"/>
      <c r="P2" s="12"/>
    </row>
    <row r="3" spans="1:16" x14ac:dyDescent="0.25">
      <c r="A3" s="12"/>
      <c r="B3" s="12"/>
      <c r="C3" s="12"/>
      <c r="D3" s="12"/>
      <c r="E3" s="12"/>
      <c r="F3" s="12"/>
      <c r="G3" s="12"/>
      <c r="H3" s="12"/>
      <c r="I3" s="12"/>
      <c r="J3" s="12"/>
      <c r="K3" s="12"/>
      <c r="L3" s="12"/>
      <c r="M3" s="12"/>
      <c r="N3" s="12"/>
      <c r="O3" s="12"/>
      <c r="P3" s="12"/>
    </row>
    <row r="4" spans="1:16" x14ac:dyDescent="0.25">
      <c r="A4" s="12"/>
      <c r="B4" s="13"/>
      <c r="C4" s="13"/>
      <c r="D4" s="13"/>
      <c r="E4" s="13"/>
      <c r="F4" s="13"/>
      <c r="G4" s="13"/>
      <c r="H4" s="13"/>
      <c r="I4" s="13"/>
      <c r="J4" s="13"/>
      <c r="K4" s="13"/>
      <c r="L4" s="13"/>
      <c r="M4" s="13"/>
      <c r="N4" s="13"/>
      <c r="O4" s="12"/>
      <c r="P4" s="12"/>
    </row>
    <row r="5" spans="1:16" ht="18" x14ac:dyDescent="0.4">
      <c r="A5" s="12"/>
      <c r="B5" s="14"/>
      <c r="C5" s="15" t="s">
        <v>71</v>
      </c>
      <c r="D5" s="16"/>
      <c r="E5" s="16"/>
      <c r="F5" s="16"/>
      <c r="G5" s="16"/>
      <c r="H5" s="16"/>
      <c r="I5" s="16"/>
      <c r="J5" s="16"/>
      <c r="K5" s="16"/>
      <c r="L5" s="16"/>
      <c r="M5" s="16"/>
      <c r="N5" s="16"/>
      <c r="O5" s="12"/>
      <c r="P5" s="12"/>
    </row>
    <row r="6" spans="1:16" x14ac:dyDescent="0.25">
      <c r="A6" s="12"/>
      <c r="B6" s="16"/>
      <c r="C6" s="16"/>
      <c r="D6" s="16"/>
      <c r="E6" s="16"/>
      <c r="F6" s="16"/>
      <c r="G6" s="16"/>
      <c r="H6" s="16"/>
      <c r="I6" s="16"/>
      <c r="J6" s="16"/>
      <c r="K6" s="16"/>
      <c r="L6" s="16"/>
      <c r="M6" s="16"/>
      <c r="N6" s="16"/>
      <c r="O6" s="12"/>
      <c r="P6" s="12"/>
    </row>
    <row r="7" spans="1:16" x14ac:dyDescent="0.25">
      <c r="A7" s="12"/>
      <c r="B7" s="16"/>
      <c r="C7" s="20" t="s">
        <v>77</v>
      </c>
      <c r="D7" s="16"/>
      <c r="E7" s="16"/>
      <c r="F7" s="16"/>
      <c r="G7" s="16"/>
      <c r="H7" s="16"/>
      <c r="I7" s="16"/>
      <c r="J7" s="16"/>
      <c r="K7" s="16"/>
      <c r="L7" s="16"/>
      <c r="M7" s="16"/>
      <c r="N7" s="16"/>
      <c r="O7" s="12"/>
      <c r="P7" s="12"/>
    </row>
    <row r="8" spans="1:16" x14ac:dyDescent="0.25">
      <c r="A8" s="12"/>
      <c r="B8" s="16"/>
      <c r="C8" s="20" t="s">
        <v>78</v>
      </c>
      <c r="D8" s="16"/>
      <c r="E8" s="16"/>
      <c r="F8" s="16"/>
      <c r="G8" s="16"/>
      <c r="H8" s="16"/>
      <c r="I8" s="16"/>
      <c r="J8" s="16"/>
      <c r="K8" s="16"/>
      <c r="L8" s="16"/>
      <c r="M8" s="16"/>
      <c r="N8" s="16"/>
      <c r="O8" s="12"/>
      <c r="P8" s="12"/>
    </row>
    <row r="9" spans="1:16" x14ac:dyDescent="0.25">
      <c r="A9" s="12"/>
      <c r="B9" s="16"/>
      <c r="C9" s="20" t="s">
        <v>79</v>
      </c>
      <c r="D9" s="16"/>
      <c r="E9" s="16"/>
      <c r="F9" s="16"/>
      <c r="G9" s="16"/>
      <c r="H9" s="16"/>
      <c r="I9" s="16"/>
      <c r="J9" s="16"/>
      <c r="K9" s="16"/>
      <c r="L9" s="16"/>
      <c r="M9" s="16"/>
      <c r="N9" s="16"/>
      <c r="O9" s="12"/>
      <c r="P9" s="12"/>
    </row>
    <row r="10" spans="1:16" x14ac:dyDescent="0.25">
      <c r="A10" s="12"/>
      <c r="B10" s="16"/>
      <c r="C10" s="20" t="s">
        <v>84</v>
      </c>
      <c r="D10" s="16"/>
      <c r="E10" s="16"/>
      <c r="F10" s="16"/>
      <c r="G10" s="16"/>
      <c r="H10" s="16"/>
      <c r="I10" s="16"/>
      <c r="J10" s="16"/>
      <c r="K10" s="16"/>
      <c r="L10" s="16"/>
      <c r="M10" s="16"/>
      <c r="N10" s="16"/>
      <c r="O10" s="12"/>
      <c r="P10" s="12"/>
    </row>
    <row r="11" spans="1:16" x14ac:dyDescent="0.25">
      <c r="A11" s="12"/>
      <c r="B11" s="16"/>
      <c r="C11" s="23" t="s">
        <v>62</v>
      </c>
      <c r="D11" s="16"/>
      <c r="E11" s="16"/>
      <c r="F11" s="16"/>
      <c r="G11" s="16"/>
      <c r="H11" s="16"/>
      <c r="I11" s="16"/>
      <c r="J11" s="16"/>
      <c r="K11" s="16"/>
      <c r="L11" s="16"/>
      <c r="M11" s="16"/>
      <c r="N11" s="16"/>
      <c r="O11" s="12"/>
      <c r="P11" s="12"/>
    </row>
    <row r="12" spans="1:16" x14ac:dyDescent="0.25">
      <c r="A12" s="12"/>
      <c r="B12" s="16"/>
      <c r="C12" s="23" t="s">
        <v>82</v>
      </c>
      <c r="D12" s="16"/>
      <c r="E12" s="16"/>
      <c r="F12" s="16"/>
      <c r="G12" s="16"/>
      <c r="H12" s="16"/>
      <c r="I12" s="16"/>
      <c r="J12" s="16"/>
      <c r="K12" s="16"/>
      <c r="L12" s="16"/>
      <c r="M12" s="16"/>
      <c r="N12" s="16"/>
      <c r="O12" s="12"/>
      <c r="P12" s="12"/>
    </row>
    <row r="13" spans="1:16" x14ac:dyDescent="0.25">
      <c r="A13" s="12"/>
      <c r="B13" s="16"/>
      <c r="C13" s="20" t="s">
        <v>83</v>
      </c>
      <c r="D13" s="16"/>
      <c r="E13" s="16"/>
      <c r="F13" s="16"/>
      <c r="G13" s="16"/>
      <c r="H13" s="16"/>
      <c r="I13" s="16"/>
      <c r="J13" s="16"/>
      <c r="K13" s="16"/>
      <c r="L13" s="16"/>
      <c r="M13" s="16"/>
      <c r="N13" s="16"/>
      <c r="O13" s="12"/>
      <c r="P13" s="12"/>
    </row>
    <row r="14" spans="1:16" x14ac:dyDescent="0.25">
      <c r="A14" s="12"/>
      <c r="B14" s="16"/>
      <c r="C14" s="16"/>
      <c r="D14" s="16"/>
      <c r="E14" s="16"/>
      <c r="F14" s="16"/>
      <c r="G14" s="16"/>
      <c r="H14" s="16"/>
      <c r="I14" s="16"/>
      <c r="J14" s="16"/>
      <c r="K14" s="16"/>
      <c r="L14" s="16"/>
      <c r="M14" s="16"/>
      <c r="N14" s="16"/>
      <c r="O14" s="12"/>
      <c r="P14" s="12"/>
    </row>
    <row r="15" spans="1:16" ht="18" x14ac:dyDescent="0.4">
      <c r="A15" s="12"/>
      <c r="B15" s="16"/>
      <c r="C15" s="15" t="s">
        <v>57</v>
      </c>
      <c r="D15" s="16"/>
      <c r="E15" s="16"/>
      <c r="F15" s="16"/>
      <c r="G15" s="16"/>
      <c r="H15" s="16"/>
      <c r="I15" s="16"/>
      <c r="J15" s="16"/>
      <c r="K15" s="16"/>
      <c r="L15" s="16"/>
      <c r="M15" s="16"/>
      <c r="N15" s="16"/>
      <c r="O15" s="12"/>
      <c r="P15" s="12"/>
    </row>
    <row r="16" spans="1:16" x14ac:dyDescent="0.25">
      <c r="A16" s="12"/>
      <c r="B16" s="16"/>
      <c r="C16" s="16"/>
      <c r="D16" s="16"/>
      <c r="E16" s="16"/>
      <c r="F16" s="16"/>
      <c r="G16" s="16"/>
      <c r="H16" s="16"/>
      <c r="I16" s="16"/>
      <c r="J16" s="16"/>
      <c r="K16" s="16"/>
      <c r="L16" s="16"/>
      <c r="M16" s="16"/>
      <c r="N16" s="16"/>
      <c r="O16" s="12"/>
      <c r="P16" s="12"/>
    </row>
    <row r="17" spans="1:16" x14ac:dyDescent="0.25">
      <c r="A17" s="12"/>
      <c r="B17" s="16"/>
      <c r="C17" s="16" t="s">
        <v>80</v>
      </c>
      <c r="D17" s="16"/>
      <c r="E17" s="16"/>
      <c r="F17" s="16"/>
      <c r="G17" s="16"/>
      <c r="H17" s="16"/>
      <c r="I17" s="16"/>
      <c r="J17" s="16"/>
      <c r="K17" s="16"/>
      <c r="L17" s="16"/>
      <c r="M17" s="16"/>
      <c r="N17" s="16"/>
      <c r="O17" s="12"/>
      <c r="P17" s="12"/>
    </row>
    <row r="18" spans="1:16" x14ac:dyDescent="0.25">
      <c r="A18" s="12"/>
      <c r="B18" s="18"/>
      <c r="C18" s="16" t="s">
        <v>63</v>
      </c>
      <c r="D18" s="18"/>
      <c r="E18" s="18"/>
      <c r="F18" s="18"/>
      <c r="G18" s="16"/>
      <c r="H18" s="16"/>
      <c r="I18" s="16"/>
      <c r="J18" s="16"/>
      <c r="K18" s="16"/>
      <c r="L18" s="16"/>
      <c r="M18" s="16"/>
      <c r="N18" s="16"/>
      <c r="O18" s="12"/>
      <c r="P18" s="12"/>
    </row>
    <row r="19" spans="1:16" x14ac:dyDescent="0.25">
      <c r="A19" s="12"/>
      <c r="B19" s="13"/>
      <c r="C19" s="16" t="s">
        <v>64</v>
      </c>
      <c r="D19" s="19"/>
      <c r="E19" s="13"/>
      <c r="F19" s="13"/>
      <c r="G19" s="16"/>
      <c r="H19" s="16"/>
      <c r="I19" s="16"/>
      <c r="J19" s="16"/>
      <c r="K19" s="16"/>
      <c r="L19" s="16"/>
      <c r="M19" s="16"/>
      <c r="N19" s="16"/>
      <c r="O19" s="12"/>
      <c r="P19" s="12"/>
    </row>
    <row r="20" spans="1:16" x14ac:dyDescent="0.25">
      <c r="A20" s="12"/>
      <c r="B20" s="16"/>
      <c r="C20" s="16" t="s">
        <v>68</v>
      </c>
      <c r="D20" s="20"/>
      <c r="E20" s="16"/>
      <c r="F20" s="16"/>
      <c r="G20" s="16"/>
      <c r="H20" s="16"/>
      <c r="I20" s="16"/>
      <c r="J20" s="16"/>
      <c r="K20" s="16"/>
      <c r="L20" s="16"/>
      <c r="M20" s="16"/>
      <c r="N20" s="16"/>
      <c r="O20" s="12"/>
      <c r="P20" s="12"/>
    </row>
    <row r="21" spans="1:16" x14ac:dyDescent="0.25">
      <c r="A21" s="12"/>
      <c r="B21" s="16"/>
      <c r="C21" s="16" t="s">
        <v>67</v>
      </c>
      <c r="D21" s="16"/>
      <c r="E21" s="16"/>
      <c r="F21" s="16"/>
      <c r="G21" s="16"/>
      <c r="H21" s="16"/>
      <c r="I21" s="16"/>
      <c r="J21" s="16"/>
      <c r="K21" s="16"/>
      <c r="L21" s="16"/>
      <c r="M21" s="16"/>
      <c r="N21" s="16"/>
      <c r="O21" s="12"/>
      <c r="P21" s="12"/>
    </row>
    <row r="22" spans="1:16" x14ac:dyDescent="0.25">
      <c r="A22" s="12"/>
      <c r="B22" s="16"/>
      <c r="C22" s="16" t="s">
        <v>65</v>
      </c>
      <c r="D22" s="16"/>
      <c r="E22" s="16"/>
      <c r="F22" s="16"/>
      <c r="G22" s="16"/>
      <c r="H22" s="16"/>
      <c r="I22" s="16"/>
      <c r="J22" s="16"/>
      <c r="K22" s="16"/>
      <c r="L22" s="16"/>
      <c r="M22" s="16"/>
      <c r="N22" s="16"/>
      <c r="O22" s="12"/>
      <c r="P22" s="12"/>
    </row>
    <row r="23" spans="1:16" x14ac:dyDescent="0.25">
      <c r="A23" s="12"/>
      <c r="B23" s="16"/>
      <c r="C23" s="16" t="s">
        <v>66</v>
      </c>
      <c r="D23" s="16"/>
      <c r="E23" s="16"/>
      <c r="F23" s="16"/>
      <c r="G23" s="16"/>
      <c r="H23" s="16"/>
      <c r="I23" s="16"/>
      <c r="J23" s="16"/>
      <c r="K23" s="16"/>
      <c r="L23" s="16"/>
      <c r="M23" s="16"/>
      <c r="N23" s="16"/>
      <c r="O23" s="12"/>
      <c r="P23" s="12"/>
    </row>
    <row r="24" spans="1:16" x14ac:dyDescent="0.25">
      <c r="A24" s="12"/>
      <c r="B24" s="16"/>
      <c r="C24" s="16" t="s">
        <v>69</v>
      </c>
      <c r="D24" s="20"/>
      <c r="E24" s="16"/>
      <c r="F24" s="16"/>
      <c r="G24" s="16"/>
      <c r="H24" s="16"/>
      <c r="I24" s="16"/>
      <c r="J24" s="16"/>
      <c r="K24" s="16"/>
      <c r="L24" s="16"/>
      <c r="M24" s="16"/>
      <c r="N24" s="16"/>
      <c r="O24" s="12"/>
      <c r="P24" s="12"/>
    </row>
    <row r="25" spans="1:16" x14ac:dyDescent="0.25">
      <c r="A25" s="12"/>
      <c r="B25" s="16"/>
      <c r="C25" s="22" t="s">
        <v>70</v>
      </c>
      <c r="D25" s="20"/>
      <c r="E25" s="16"/>
      <c r="F25" s="16"/>
      <c r="G25" s="16"/>
      <c r="H25" s="16"/>
      <c r="I25" s="16"/>
      <c r="J25" s="16"/>
      <c r="K25" s="16"/>
      <c r="L25" s="16"/>
      <c r="M25" s="16"/>
      <c r="N25" s="16"/>
      <c r="O25" s="12"/>
      <c r="P25" s="12"/>
    </row>
    <row r="26" spans="1:16" x14ac:dyDescent="0.25">
      <c r="A26" s="12"/>
      <c r="B26" s="16"/>
      <c r="C26" s="16"/>
      <c r="D26" s="16"/>
      <c r="E26" s="16"/>
      <c r="F26" s="16"/>
      <c r="G26" s="16"/>
      <c r="H26" s="16"/>
      <c r="I26" s="16"/>
      <c r="J26" s="16"/>
      <c r="K26" s="16"/>
      <c r="L26" s="16"/>
      <c r="M26" s="16"/>
      <c r="N26" s="16"/>
      <c r="O26" s="12"/>
      <c r="P26" s="12"/>
    </row>
    <row r="27" spans="1:16" x14ac:dyDescent="0.25">
      <c r="A27" s="12"/>
      <c r="B27" s="16"/>
      <c r="C27" s="16"/>
      <c r="D27" s="16"/>
      <c r="E27" s="16"/>
      <c r="F27" s="16"/>
      <c r="G27" s="16"/>
      <c r="H27" s="16"/>
      <c r="I27" s="16"/>
      <c r="J27" s="16"/>
      <c r="K27" s="16"/>
      <c r="L27" s="16"/>
      <c r="M27" s="16"/>
      <c r="N27" s="16"/>
      <c r="O27" s="12"/>
      <c r="P27" s="12"/>
    </row>
    <row r="28" spans="1:16" ht="18" x14ac:dyDescent="0.4">
      <c r="A28" s="12"/>
      <c r="B28" s="16"/>
      <c r="C28" s="15" t="s">
        <v>56</v>
      </c>
      <c r="D28" s="16"/>
      <c r="E28" s="16"/>
      <c r="F28" s="16"/>
      <c r="G28" s="16"/>
      <c r="H28" s="16"/>
      <c r="I28" s="16"/>
      <c r="J28" s="16"/>
      <c r="K28" s="16"/>
      <c r="L28" s="16"/>
      <c r="M28" s="16"/>
      <c r="N28" s="16"/>
      <c r="O28" s="12"/>
      <c r="P28" s="12"/>
    </row>
    <row r="29" spans="1:16" x14ac:dyDescent="0.25">
      <c r="A29" s="12"/>
      <c r="B29" s="16"/>
      <c r="C29" s="16"/>
      <c r="D29" s="16"/>
      <c r="E29" s="16"/>
      <c r="F29" s="16"/>
      <c r="G29" s="16"/>
      <c r="H29" s="16"/>
      <c r="I29" s="16"/>
      <c r="J29" s="16"/>
      <c r="K29" s="16"/>
      <c r="L29" s="16"/>
      <c r="M29" s="16"/>
      <c r="N29" s="16"/>
      <c r="O29" s="12"/>
      <c r="P29" s="12"/>
    </row>
    <row r="30" spans="1:16" x14ac:dyDescent="0.25">
      <c r="A30" s="12"/>
      <c r="B30" s="16"/>
      <c r="C30" s="16" t="s">
        <v>72</v>
      </c>
      <c r="D30" s="16"/>
      <c r="E30" s="16"/>
      <c r="F30" s="16"/>
      <c r="G30" s="16"/>
      <c r="H30" s="16"/>
      <c r="I30" s="16"/>
      <c r="J30" s="16"/>
      <c r="K30" s="16"/>
      <c r="L30" s="16"/>
      <c r="M30" s="16"/>
      <c r="N30" s="16"/>
      <c r="O30" s="12"/>
      <c r="P30" s="12"/>
    </row>
    <row r="31" spans="1:16" x14ac:dyDescent="0.25">
      <c r="A31" s="12"/>
      <c r="B31" s="16"/>
      <c r="C31" s="16" t="s">
        <v>89</v>
      </c>
      <c r="D31" s="16"/>
      <c r="E31" s="16"/>
      <c r="F31" s="16"/>
      <c r="G31" s="16"/>
      <c r="H31" s="16"/>
      <c r="I31" s="16"/>
      <c r="J31" s="16"/>
      <c r="K31" s="16"/>
      <c r="L31" s="16"/>
      <c r="M31" s="16"/>
      <c r="N31" s="16"/>
      <c r="O31" s="12"/>
      <c r="P31" s="12"/>
    </row>
    <row r="32" spans="1:16" x14ac:dyDescent="0.25">
      <c r="A32" s="12"/>
      <c r="B32" s="16"/>
      <c r="C32" s="17" t="s">
        <v>90</v>
      </c>
      <c r="D32" s="16"/>
      <c r="E32" s="16"/>
      <c r="F32" s="16"/>
      <c r="G32" s="16"/>
      <c r="H32" s="16"/>
      <c r="I32" s="16"/>
      <c r="J32" s="16"/>
      <c r="K32" s="16"/>
      <c r="L32" s="16"/>
      <c r="M32" s="16"/>
      <c r="N32" s="16"/>
      <c r="O32" s="12"/>
      <c r="P32" s="12"/>
    </row>
    <row r="33" spans="1:16" x14ac:dyDescent="0.25">
      <c r="A33" s="12"/>
      <c r="B33" s="16"/>
      <c r="C33" s="16" t="s">
        <v>74</v>
      </c>
      <c r="D33" s="16"/>
      <c r="E33" s="16"/>
      <c r="F33" s="16"/>
      <c r="G33" s="16"/>
      <c r="H33" s="16"/>
      <c r="I33" s="16"/>
      <c r="J33" s="16"/>
      <c r="K33" s="16"/>
      <c r="L33" s="16"/>
      <c r="M33" s="16"/>
      <c r="N33" s="16"/>
      <c r="O33" s="12"/>
      <c r="P33" s="12"/>
    </row>
    <row r="34" spans="1:16" x14ac:dyDescent="0.25">
      <c r="A34" s="12"/>
      <c r="B34" s="16"/>
      <c r="D34" s="16"/>
      <c r="E34" s="16"/>
      <c r="F34" s="16"/>
      <c r="G34" s="16"/>
      <c r="H34" s="16"/>
      <c r="I34" s="16"/>
      <c r="J34" s="16"/>
      <c r="K34" s="16"/>
      <c r="L34" s="16"/>
      <c r="M34" s="16"/>
      <c r="N34" s="16"/>
      <c r="O34" s="12"/>
      <c r="P34" s="12"/>
    </row>
    <row r="35" spans="1:16" x14ac:dyDescent="0.25">
      <c r="A35" s="12"/>
      <c r="B35" s="16"/>
      <c r="C35" s="18"/>
      <c r="D35" s="16"/>
      <c r="E35" s="16"/>
      <c r="F35" s="16"/>
      <c r="G35" s="16"/>
      <c r="H35" s="16"/>
      <c r="I35" s="16"/>
      <c r="J35" s="16"/>
      <c r="K35" s="16"/>
      <c r="L35" s="16"/>
      <c r="M35" s="16"/>
      <c r="N35" s="16"/>
      <c r="O35" s="12"/>
      <c r="P35" s="12"/>
    </row>
    <row r="36" spans="1:16" x14ac:dyDescent="0.25">
      <c r="A36" s="12"/>
      <c r="B36" s="16"/>
      <c r="C36" s="24" t="s">
        <v>73</v>
      </c>
      <c r="D36" s="20"/>
      <c r="E36" s="16"/>
      <c r="F36" s="16"/>
      <c r="G36" s="16"/>
      <c r="H36" s="16"/>
      <c r="I36" s="16"/>
      <c r="J36" s="16"/>
      <c r="K36" s="16"/>
      <c r="L36" s="16"/>
      <c r="M36" s="16"/>
      <c r="N36" s="16"/>
      <c r="O36" s="12"/>
      <c r="P36" s="12"/>
    </row>
    <row r="37" spans="1:16" x14ac:dyDescent="0.25">
      <c r="A37" s="12"/>
      <c r="B37" s="16"/>
      <c r="C37" s="16"/>
      <c r="D37" s="20"/>
      <c r="E37" s="16"/>
      <c r="F37" s="16"/>
      <c r="G37" s="16"/>
      <c r="H37" s="16"/>
      <c r="I37" s="16"/>
      <c r="J37" s="16"/>
      <c r="K37" s="16"/>
      <c r="L37" s="16"/>
      <c r="M37" s="16"/>
      <c r="N37" s="16"/>
      <c r="O37" s="12"/>
      <c r="P37" s="12"/>
    </row>
    <row r="38" spans="1:16" ht="14" x14ac:dyDescent="0.3">
      <c r="A38" s="12"/>
      <c r="B38" s="16"/>
      <c r="C38" s="26" t="s">
        <v>88</v>
      </c>
      <c r="D38" s="16"/>
      <c r="E38" s="16"/>
      <c r="F38" s="16"/>
      <c r="G38" s="16"/>
      <c r="H38" s="16"/>
      <c r="I38" s="16"/>
      <c r="J38" s="16"/>
      <c r="K38" s="16"/>
      <c r="L38" s="16"/>
      <c r="M38" s="16"/>
      <c r="N38" s="16"/>
      <c r="O38" s="12"/>
      <c r="P38" s="12"/>
    </row>
    <row r="39" spans="1:16" ht="14" x14ac:dyDescent="0.3">
      <c r="A39" s="12"/>
      <c r="B39" s="16"/>
      <c r="C39" s="25" t="s">
        <v>76</v>
      </c>
      <c r="D39" s="16"/>
      <c r="E39" s="16"/>
      <c r="F39" s="16"/>
      <c r="G39" s="16"/>
      <c r="H39" s="16"/>
      <c r="I39" s="16"/>
      <c r="J39" s="16"/>
      <c r="K39" s="16"/>
      <c r="L39" s="16"/>
      <c r="M39" s="16"/>
      <c r="N39" s="16"/>
      <c r="O39" s="12"/>
      <c r="P39" s="12"/>
    </row>
    <row r="40" spans="1:16" ht="14" x14ac:dyDescent="0.3">
      <c r="A40" s="12"/>
      <c r="B40" s="16"/>
      <c r="C40" s="25" t="s">
        <v>75</v>
      </c>
      <c r="D40" s="16"/>
      <c r="E40" s="16"/>
      <c r="F40" s="16"/>
      <c r="G40" s="16"/>
      <c r="H40" s="16"/>
      <c r="I40" s="16"/>
      <c r="J40" s="16"/>
      <c r="K40" s="16"/>
      <c r="L40" s="16"/>
      <c r="M40" s="16"/>
      <c r="N40" s="16"/>
      <c r="O40" s="12"/>
      <c r="P40" s="12"/>
    </row>
    <row r="41" spans="1:16" x14ac:dyDescent="0.25">
      <c r="A41" s="12"/>
      <c r="B41" s="16"/>
      <c r="C41" s="16"/>
      <c r="D41" s="20"/>
      <c r="E41" s="16"/>
      <c r="F41" s="16"/>
      <c r="G41" s="16"/>
      <c r="H41" s="16"/>
      <c r="I41" s="16"/>
      <c r="J41" s="16"/>
      <c r="K41" s="16"/>
      <c r="L41" s="16"/>
      <c r="M41" s="16"/>
      <c r="N41" s="16"/>
      <c r="O41" s="12"/>
      <c r="P41" s="12"/>
    </row>
    <row r="42" spans="1:16" x14ac:dyDescent="0.25">
      <c r="A42" s="12"/>
      <c r="B42" s="16"/>
      <c r="C42" s="16"/>
      <c r="D42" s="16"/>
      <c r="E42" s="16"/>
      <c r="F42" s="16"/>
      <c r="G42" s="16"/>
      <c r="H42" s="16"/>
      <c r="I42" s="16"/>
      <c r="J42" s="16"/>
      <c r="K42" s="16"/>
      <c r="L42" s="16"/>
      <c r="M42" s="16"/>
      <c r="N42" s="16"/>
      <c r="O42" s="12"/>
      <c r="P42" s="12"/>
    </row>
    <row r="43" spans="1:16" x14ac:dyDescent="0.25">
      <c r="A43" s="12"/>
      <c r="B43" s="16"/>
      <c r="C43" s="16"/>
      <c r="D43" s="16"/>
      <c r="E43" s="16"/>
      <c r="F43" s="16"/>
      <c r="G43" s="16"/>
      <c r="H43" s="16"/>
      <c r="I43" s="16"/>
      <c r="J43" s="16"/>
      <c r="K43" s="16"/>
      <c r="L43" s="16"/>
      <c r="M43" s="16"/>
      <c r="N43" s="16"/>
      <c r="O43" s="12"/>
      <c r="P43" s="12"/>
    </row>
    <row r="44" spans="1:16" ht="18" x14ac:dyDescent="0.4">
      <c r="A44" s="12"/>
      <c r="B44" s="16"/>
      <c r="C44" s="15"/>
      <c r="D44" s="16"/>
      <c r="E44" s="16"/>
      <c r="F44" s="16"/>
      <c r="G44" s="16"/>
      <c r="H44" s="16"/>
      <c r="I44" s="16"/>
      <c r="J44" s="16"/>
      <c r="K44" s="16"/>
      <c r="L44" s="16"/>
      <c r="M44" s="16"/>
      <c r="N44" s="16"/>
      <c r="O44" s="12"/>
      <c r="P44" s="12"/>
    </row>
    <row r="45" spans="1:16" x14ac:dyDescent="0.25">
      <c r="A45" s="12"/>
      <c r="B45" s="16"/>
      <c r="C45" s="16"/>
      <c r="D45" s="16"/>
      <c r="E45" s="16"/>
      <c r="F45" s="16"/>
      <c r="G45" s="16"/>
      <c r="H45" s="16"/>
      <c r="I45" s="16"/>
      <c r="J45" s="16"/>
      <c r="K45" s="16"/>
      <c r="L45" s="16"/>
      <c r="M45" s="16"/>
      <c r="N45" s="16"/>
      <c r="O45" s="12"/>
      <c r="P45" s="12"/>
    </row>
    <row r="46" spans="1:16" x14ac:dyDescent="0.25">
      <c r="A46" s="12"/>
      <c r="B46" s="16"/>
      <c r="C46" s="16"/>
      <c r="D46" s="16"/>
      <c r="E46" s="16"/>
      <c r="F46" s="16"/>
      <c r="G46" s="16"/>
      <c r="H46" s="16"/>
      <c r="I46" s="16"/>
      <c r="J46" s="16"/>
      <c r="K46" s="16"/>
      <c r="L46" s="16"/>
      <c r="M46" s="16"/>
      <c r="N46" s="16"/>
      <c r="O46" s="12"/>
      <c r="P46" s="12"/>
    </row>
    <row r="47" spans="1:16" x14ac:dyDescent="0.25">
      <c r="A47" s="12"/>
      <c r="B47" s="16"/>
      <c r="C47" s="16"/>
      <c r="D47" s="16"/>
      <c r="E47" s="16"/>
      <c r="F47" s="16"/>
      <c r="G47" s="16"/>
      <c r="H47" s="16"/>
      <c r="I47" s="16"/>
      <c r="J47" s="16"/>
      <c r="K47" s="16"/>
      <c r="L47" s="16"/>
      <c r="M47" s="16"/>
      <c r="N47" s="16"/>
      <c r="O47" s="12"/>
      <c r="P47" s="12"/>
    </row>
    <row r="48" spans="1:16" x14ac:dyDescent="0.25">
      <c r="A48" s="12"/>
      <c r="B48" s="16"/>
      <c r="C48" s="16"/>
      <c r="D48" s="20"/>
      <c r="E48" s="16"/>
      <c r="F48" s="16"/>
      <c r="G48" s="16"/>
      <c r="H48" s="16"/>
      <c r="I48" s="16"/>
      <c r="J48" s="16"/>
      <c r="K48" s="16"/>
      <c r="L48" s="16"/>
      <c r="M48" s="16"/>
      <c r="N48" s="16"/>
      <c r="O48" s="12"/>
      <c r="P48" s="12"/>
    </row>
    <row r="49" spans="1:16" x14ac:dyDescent="0.25">
      <c r="A49" s="12"/>
      <c r="B49" s="16"/>
      <c r="C49" s="16"/>
      <c r="D49" s="16"/>
      <c r="E49" s="16"/>
      <c r="F49" s="16"/>
      <c r="G49" s="16"/>
      <c r="H49" s="16"/>
      <c r="I49" s="16"/>
      <c r="J49" s="16"/>
      <c r="K49" s="16"/>
      <c r="L49" s="16"/>
      <c r="M49" s="16"/>
      <c r="N49" s="16"/>
      <c r="O49" s="12"/>
      <c r="P49" s="12"/>
    </row>
    <row r="50" spans="1:16" ht="18" x14ac:dyDescent="0.4">
      <c r="A50" s="12"/>
      <c r="B50" s="16"/>
      <c r="C50" s="15"/>
      <c r="D50" s="16"/>
      <c r="E50" s="16"/>
      <c r="F50" s="16"/>
      <c r="G50" s="16"/>
      <c r="H50" s="16"/>
      <c r="I50" s="16"/>
      <c r="J50" s="16"/>
      <c r="K50" s="16"/>
      <c r="L50" s="16"/>
      <c r="M50" s="16"/>
      <c r="N50" s="16"/>
      <c r="O50" s="12"/>
      <c r="P50" s="12"/>
    </row>
    <row r="51" spans="1:16" x14ac:dyDescent="0.25">
      <c r="A51" s="12"/>
      <c r="B51" s="16"/>
      <c r="C51" s="16"/>
      <c r="D51" s="16"/>
      <c r="E51" s="16"/>
      <c r="F51" s="16"/>
      <c r="G51" s="16"/>
      <c r="H51" s="16"/>
      <c r="I51" s="16"/>
      <c r="J51" s="16"/>
      <c r="K51" s="16"/>
      <c r="L51" s="16"/>
      <c r="M51" s="16"/>
      <c r="N51" s="16"/>
      <c r="O51" s="12"/>
      <c r="P51" s="12"/>
    </row>
    <row r="52" spans="1:16" x14ac:dyDescent="0.25">
      <c r="A52" s="12"/>
      <c r="B52" s="16"/>
      <c r="C52" s="16"/>
      <c r="D52" s="16"/>
      <c r="E52" s="16"/>
      <c r="F52" s="16"/>
      <c r="G52" s="16"/>
      <c r="H52" s="16"/>
      <c r="I52" s="16"/>
      <c r="J52" s="16"/>
      <c r="K52" s="16"/>
      <c r="L52" s="16"/>
      <c r="M52" s="16"/>
      <c r="N52" s="16"/>
      <c r="O52" s="12"/>
      <c r="P52" s="12"/>
    </row>
    <row r="53" spans="1:16" x14ac:dyDescent="0.25">
      <c r="A53" s="12"/>
      <c r="B53" s="21"/>
      <c r="C53" s="21"/>
      <c r="D53" s="21"/>
      <c r="E53" s="21"/>
      <c r="F53" s="21"/>
      <c r="G53" s="21"/>
      <c r="H53" s="21"/>
      <c r="I53" s="21"/>
      <c r="J53" s="21"/>
      <c r="K53" s="21"/>
      <c r="L53" s="21"/>
      <c r="M53" s="21"/>
      <c r="N53" s="21"/>
      <c r="O53" s="12"/>
      <c r="P53" s="12"/>
    </row>
    <row r="54" spans="1:16" x14ac:dyDescent="0.25">
      <c r="A54" s="12"/>
      <c r="B54" s="12"/>
      <c r="C54" s="12"/>
      <c r="D54" s="12"/>
      <c r="E54" s="12"/>
      <c r="F54" s="12"/>
      <c r="G54" s="12"/>
      <c r="H54" s="12"/>
      <c r="I54" s="12"/>
      <c r="J54" s="12"/>
      <c r="K54" s="12"/>
      <c r="L54" s="12"/>
      <c r="M54" s="12"/>
      <c r="N54" s="12"/>
      <c r="O54" s="12"/>
      <c r="P54" s="12"/>
    </row>
    <row r="55" spans="1:16" x14ac:dyDescent="0.25">
      <c r="A55" s="12"/>
      <c r="B55" s="12"/>
      <c r="C55" s="12"/>
      <c r="D55" s="12"/>
      <c r="E55" s="12"/>
      <c r="F55" s="12"/>
      <c r="G55" s="12"/>
      <c r="H55" s="12"/>
      <c r="I55" s="12"/>
      <c r="J55" s="12"/>
      <c r="K55" s="12"/>
      <c r="L55" s="12"/>
      <c r="M55" s="12"/>
      <c r="N55" s="12"/>
      <c r="O55" s="12"/>
      <c r="P55" s="1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Start</vt:lpstr>
      <vt:lpstr>Summary</vt:lpstr>
      <vt:lpstr>RegionTemp</vt:lpstr>
      <vt:lpstr>Map</vt:lpstr>
      <vt:lpstr>NewData</vt:lpstr>
      <vt:lpstr>Instructions</vt:lpstr>
      <vt:lpstr>CompTable</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You, Ran</cp:lastModifiedBy>
  <dcterms:created xsi:type="dcterms:W3CDTF">2017-10-02T07:41:32Z</dcterms:created>
  <dcterms:modified xsi:type="dcterms:W3CDTF">2021-09-05T03:00:06Z</dcterms:modified>
</cp:coreProperties>
</file>